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verknings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outlineLevel="1" width="13" customWidth="1" min="22" max="25"/>
  </cols>
  <sheetData>
    <row r="0" ht="15" customHeight="1"/>
    <row r="1" ht="15" customHeight="1">
      <c r="A1" t="inlineStr">
        <is>
          <t>Beteckning</t>
        </is>
      </c>
      <c r="B1" t="inlineStr">
        <is>
          <t>Datum</t>
        </is>
      </c>
      <c r="C1" t="inlineStr">
        <is>
          <t>Förändrad</t>
        </is>
      </c>
      <c r="D1" t="inlineStr">
        <is>
          <t>Län</t>
        </is>
      </c>
      <c r="E1" t="inlineStr">
        <is>
          <t>Kommun</t>
        </is>
      </c>
      <c r="F1" t="inlineStr">
        <is>
          <t>Markägare</t>
        </is>
      </c>
      <c r="G1" t="inlineStr">
        <is>
          <t>Area (ha)</t>
        </is>
      </c>
      <c r="H1" t="inlineStr">
        <is>
          <t>Fridlysta</t>
        </is>
      </c>
      <c r="I1" t="inlineStr">
        <is>
          <t>Signalarter</t>
        </is>
      </c>
      <c r="J1" t="inlineStr">
        <is>
          <t>NT</t>
        </is>
      </c>
      <c r="K1" t="inlineStr">
        <is>
          <t>VU</t>
        </is>
      </c>
      <c r="L1" t="inlineStr">
        <is>
          <t>EN</t>
        </is>
      </c>
      <c r="M1" t="inlineStr">
        <is>
          <t>CR</t>
        </is>
      </c>
      <c r="N1" t="inlineStr">
        <is>
          <t>RE</t>
        </is>
      </c>
      <c r="O1" t="inlineStr">
        <is>
          <t>Rödlistade</t>
        </is>
      </c>
      <c r="P1" t="inlineStr">
        <is>
          <t>Hotade</t>
        </is>
      </c>
      <c r="Q1" t="inlineStr">
        <is>
          <t>Alla arter</t>
        </is>
      </c>
      <c r="R1" t="inlineStr">
        <is>
          <t>Artnamn</t>
        </is>
      </c>
      <c r="S1" t="inlineStr">
        <is>
          <t>Artfyndslänk</t>
        </is>
      </c>
      <c r="T1" t="inlineStr">
        <is>
          <t>Kartlänk</t>
        </is>
      </c>
      <c r="U1" t="inlineStr">
        <is>
          <t>Knärotsbuffertlänk</t>
        </is>
      </c>
      <c r="V1" t="inlineStr">
        <is>
          <t>Klagomålslänk</t>
        </is>
      </c>
      <c r="W1" t="inlineStr">
        <is>
          <t>Klagomålsmaillänk</t>
        </is>
      </c>
      <c r="X1" t="inlineStr">
        <is>
          <t>Tillsynsbegäranslänk</t>
        </is>
      </c>
      <c r="Y1" t="inlineStr">
        <is>
          <t>Tillsynsbegäransmaillänk</t>
        </is>
      </c>
    </row>
    <row r="2" ht="15" customHeight="1">
      <c r="A2" t="inlineStr">
        <is>
          <t>A 37343-2021</t>
        </is>
      </c>
      <c r="B2" s="1" t="n">
        <v>44397</v>
      </c>
      <c r="C2" s="1" t="n">
        <v>45186</v>
      </c>
      <c r="D2" t="inlineStr">
        <is>
          <t>DALARNAS LÄN</t>
        </is>
      </c>
      <c r="E2" t="inlineStr">
        <is>
          <t>GAGNEF</t>
        </is>
      </c>
      <c r="G2" t="n">
        <v>14.5</v>
      </c>
      <c r="H2" t="n">
        <v>4</v>
      </c>
      <c r="I2" t="n">
        <v>2</v>
      </c>
      <c r="J2" t="n">
        <v>4</v>
      </c>
      <c r="K2" t="n">
        <v>2</v>
      </c>
      <c r="L2" t="n">
        <v>0</v>
      </c>
      <c r="M2" t="n">
        <v>0</v>
      </c>
      <c r="N2" t="n">
        <v>0</v>
      </c>
      <c r="O2" t="n">
        <v>6</v>
      </c>
      <c r="P2" t="n">
        <v>2</v>
      </c>
      <c r="Q2" t="n">
        <v>9</v>
      </c>
      <c r="R2" s="2" t="inlineStr">
        <is>
          <t>Knärot
Rynkskinn
Garnlav
Kolflarnlav
Mörk kolflarnlav
Tretåig hackspett
Spindelblomster
Vedticka
Fläcknycklar</t>
        </is>
      </c>
      <c r="S2">
        <f>HYPERLINK("https://klasma.github.io/Logging_GAGNEF/artfynd/A 37343-2021.xlsx", "A 37343-2021")</f>
        <v/>
      </c>
      <c r="T2">
        <f>HYPERLINK("https://klasma.github.io/Logging_GAGNEF/kartor/A 37343-2021.png", "A 37343-2021")</f>
        <v/>
      </c>
      <c r="U2">
        <f>HYPERLINK("https://klasma.github.io/Logging_GAGNEF/knärot/A 37343-2021.png", "A 37343-2021")</f>
        <v/>
      </c>
      <c r="V2">
        <f>HYPERLINK("https://klasma.github.io/Logging_GAGNEF/klagomål/A 37343-2021.docx", "A 37343-2021")</f>
        <v/>
      </c>
      <c r="W2">
        <f>HYPERLINK("https://klasma.github.io/Logging_GAGNEF/klagomålsmail/A 37343-2021.docx", "A 37343-2021")</f>
        <v/>
      </c>
      <c r="X2">
        <f>HYPERLINK("https://klasma.github.io/Logging_GAGNEF/tillsyn/A 37343-2021.docx", "A 37343-2021")</f>
        <v/>
      </c>
      <c r="Y2">
        <f>HYPERLINK("https://klasma.github.io/Logging_GAGNEF/tillsynsmail/A 37343-2021.docx", "A 37343-2021")</f>
        <v/>
      </c>
    </row>
    <row r="3" ht="15" customHeight="1">
      <c r="A3" t="inlineStr">
        <is>
          <t>A 39809-2020</t>
        </is>
      </c>
      <c r="B3" s="1" t="n">
        <v>44067</v>
      </c>
      <c r="C3" s="1" t="n">
        <v>45186</v>
      </c>
      <c r="D3" t="inlineStr">
        <is>
          <t>DALARNAS LÄN</t>
        </is>
      </c>
      <c r="E3" t="inlineStr">
        <is>
          <t>GAGNEF</t>
        </is>
      </c>
      <c r="G3" t="n">
        <v>8.1</v>
      </c>
      <c r="H3" t="n">
        <v>2</v>
      </c>
      <c r="I3" t="n">
        <v>3</v>
      </c>
      <c r="J3" t="n">
        <v>4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0</v>
      </c>
      <c r="Q3" t="n">
        <v>7</v>
      </c>
      <c r="R3" s="2" t="inlineStr">
        <is>
          <t>Garnlav
Motaggsvamp
Skrovlig taggsvamp
Talltita
Dropptaggsvamp
Nästlav
Plattlummer</t>
        </is>
      </c>
      <c r="S3">
        <f>HYPERLINK("https://klasma.github.io/Logging_GAGNEF/artfynd/A 39809-2020.xlsx", "A 39809-2020")</f>
        <v/>
      </c>
      <c r="T3">
        <f>HYPERLINK("https://klasma.github.io/Logging_GAGNEF/kartor/A 39809-2020.png", "A 39809-2020")</f>
        <v/>
      </c>
      <c r="V3">
        <f>HYPERLINK("https://klasma.github.io/Logging_GAGNEF/klagomål/A 39809-2020.docx", "A 39809-2020")</f>
        <v/>
      </c>
      <c r="W3">
        <f>HYPERLINK("https://klasma.github.io/Logging_GAGNEF/klagomålsmail/A 39809-2020.docx", "A 39809-2020")</f>
        <v/>
      </c>
      <c r="X3">
        <f>HYPERLINK("https://klasma.github.io/Logging_GAGNEF/tillsyn/A 39809-2020.docx", "A 39809-2020")</f>
        <v/>
      </c>
      <c r="Y3">
        <f>HYPERLINK("https://klasma.github.io/Logging_GAGNEF/tillsynsmail/A 39809-2020.docx", "A 39809-2020")</f>
        <v/>
      </c>
    </row>
    <row r="4" ht="15" customHeight="1">
      <c r="A4" t="inlineStr">
        <is>
          <t>A 57347-2022</t>
        </is>
      </c>
      <c r="B4" s="1" t="n">
        <v>44896</v>
      </c>
      <c r="C4" s="1" t="n">
        <v>45186</v>
      </c>
      <c r="D4" t="inlineStr">
        <is>
          <t>DALARNAS LÄN</t>
        </is>
      </c>
      <c r="E4" t="inlineStr">
        <is>
          <t>GAGNEF</t>
        </is>
      </c>
      <c r="G4" t="n">
        <v>8.5</v>
      </c>
      <c r="H4" t="n">
        <v>2</v>
      </c>
      <c r="I4" t="n">
        <v>3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3</v>
      </c>
      <c r="P4" t="n">
        <v>0</v>
      </c>
      <c r="Q4" t="n">
        <v>6</v>
      </c>
      <c r="R4" s="2" t="inlineStr">
        <is>
          <t>Motaggsvamp
Skrovlig taggsvamp
Talltita
Dropptaggsvamp
Nästlav
Plattlummer</t>
        </is>
      </c>
      <c r="S4">
        <f>HYPERLINK("https://klasma.github.io/Logging_GAGNEF/artfynd/A 57347-2022.xlsx", "A 57347-2022")</f>
        <v/>
      </c>
      <c r="T4">
        <f>HYPERLINK("https://klasma.github.io/Logging_GAGNEF/kartor/A 57347-2022.png", "A 57347-2022")</f>
        <v/>
      </c>
      <c r="V4">
        <f>HYPERLINK("https://klasma.github.io/Logging_GAGNEF/klagomål/A 57347-2022.docx", "A 57347-2022")</f>
        <v/>
      </c>
      <c r="W4">
        <f>HYPERLINK("https://klasma.github.io/Logging_GAGNEF/klagomålsmail/A 57347-2022.docx", "A 57347-2022")</f>
        <v/>
      </c>
      <c r="X4">
        <f>HYPERLINK("https://klasma.github.io/Logging_GAGNEF/tillsyn/A 57347-2022.docx", "A 57347-2022")</f>
        <v/>
      </c>
      <c r="Y4">
        <f>HYPERLINK("https://klasma.github.io/Logging_GAGNEF/tillsynsmail/A 57347-2022.docx", "A 57347-2022")</f>
        <v/>
      </c>
    </row>
    <row r="5" ht="15" customHeight="1">
      <c r="A5" t="inlineStr">
        <is>
          <t>A 20728-2023</t>
        </is>
      </c>
      <c r="B5" s="1" t="n">
        <v>45055</v>
      </c>
      <c r="C5" s="1" t="n">
        <v>45186</v>
      </c>
      <c r="D5" t="inlineStr">
        <is>
          <t>DALARNAS LÄN</t>
        </is>
      </c>
      <c r="E5" t="inlineStr">
        <is>
          <t>GAGNEF</t>
        </is>
      </c>
      <c r="G5" t="n">
        <v>5.9</v>
      </c>
      <c r="H5" t="n">
        <v>3</v>
      </c>
      <c r="I5" t="n">
        <v>0</v>
      </c>
      <c r="J5" t="n">
        <v>5</v>
      </c>
      <c r="K5" t="n">
        <v>1</v>
      </c>
      <c r="L5" t="n">
        <v>0</v>
      </c>
      <c r="M5" t="n">
        <v>0</v>
      </c>
      <c r="N5" t="n">
        <v>0</v>
      </c>
      <c r="O5" t="n">
        <v>6</v>
      </c>
      <c r="P5" t="n">
        <v>1</v>
      </c>
      <c r="Q5" t="n">
        <v>6</v>
      </c>
      <c r="R5" s="2" t="inlineStr">
        <is>
          <t>Knärot
Garnlav
Rosenticka
Spillkråka
Tretåig hackspett
Ullticka</t>
        </is>
      </c>
      <c r="S5">
        <f>HYPERLINK("https://klasma.github.io/Logging_GAGNEF/artfynd/A 20728-2023.xlsx", "A 20728-2023")</f>
        <v/>
      </c>
      <c r="T5">
        <f>HYPERLINK("https://klasma.github.io/Logging_GAGNEF/kartor/A 20728-2023.png", "A 20728-2023")</f>
        <v/>
      </c>
      <c r="U5">
        <f>HYPERLINK("https://klasma.github.io/Logging_GAGNEF/knärot/A 20728-2023.png", "A 20728-2023")</f>
        <v/>
      </c>
      <c r="V5">
        <f>HYPERLINK("https://klasma.github.io/Logging_GAGNEF/klagomål/A 20728-2023.docx", "A 20728-2023")</f>
        <v/>
      </c>
      <c r="W5">
        <f>HYPERLINK("https://klasma.github.io/Logging_GAGNEF/klagomålsmail/A 20728-2023.docx", "A 20728-2023")</f>
        <v/>
      </c>
      <c r="X5">
        <f>HYPERLINK("https://klasma.github.io/Logging_GAGNEF/tillsyn/A 20728-2023.docx", "A 20728-2023")</f>
        <v/>
      </c>
      <c r="Y5">
        <f>HYPERLINK("https://klasma.github.io/Logging_GAGNEF/tillsynsmail/A 20728-2023.docx", "A 20728-2023")</f>
        <v/>
      </c>
    </row>
    <row r="6" ht="15" customHeight="1">
      <c r="A6" t="inlineStr">
        <is>
          <t>A 40359-2019</t>
        </is>
      </c>
      <c r="B6" s="1" t="n">
        <v>43696</v>
      </c>
      <c r="C6" s="1" t="n">
        <v>45186</v>
      </c>
      <c r="D6" t="inlineStr">
        <is>
          <t>DALARNAS LÄN</t>
        </is>
      </c>
      <c r="E6" t="inlineStr">
        <is>
          <t>GAGNEF</t>
        </is>
      </c>
      <c r="G6" t="n">
        <v>5.8</v>
      </c>
      <c r="H6" t="n">
        <v>0</v>
      </c>
      <c r="I6" t="n">
        <v>2</v>
      </c>
      <c r="J6" t="n">
        <v>2</v>
      </c>
      <c r="K6" t="n">
        <v>1</v>
      </c>
      <c r="L6" t="n">
        <v>0</v>
      </c>
      <c r="M6" t="n">
        <v>0</v>
      </c>
      <c r="N6" t="n">
        <v>0</v>
      </c>
      <c r="O6" t="n">
        <v>3</v>
      </c>
      <c r="P6" t="n">
        <v>1</v>
      </c>
      <c r="Q6" t="n">
        <v>5</v>
      </c>
      <c r="R6" s="2" t="inlineStr">
        <is>
          <t>Rynkskinn
Rosenticka
Ullticka
Kattfotslav
Zontaggsvamp</t>
        </is>
      </c>
      <c r="S6">
        <f>HYPERLINK("https://klasma.github.io/Logging_GAGNEF/artfynd/A 40359-2019.xlsx", "A 40359-2019")</f>
        <v/>
      </c>
      <c r="T6">
        <f>HYPERLINK("https://klasma.github.io/Logging_GAGNEF/kartor/A 40359-2019.png", "A 40359-2019")</f>
        <v/>
      </c>
      <c r="V6">
        <f>HYPERLINK("https://klasma.github.io/Logging_GAGNEF/klagomål/A 40359-2019.docx", "A 40359-2019")</f>
        <v/>
      </c>
      <c r="W6">
        <f>HYPERLINK("https://klasma.github.io/Logging_GAGNEF/klagomålsmail/A 40359-2019.docx", "A 40359-2019")</f>
        <v/>
      </c>
      <c r="X6">
        <f>HYPERLINK("https://klasma.github.io/Logging_GAGNEF/tillsyn/A 40359-2019.docx", "A 40359-2019")</f>
        <v/>
      </c>
      <c r="Y6">
        <f>HYPERLINK("https://klasma.github.io/Logging_GAGNEF/tillsynsmail/A 40359-2019.docx", "A 40359-2019")</f>
        <v/>
      </c>
    </row>
    <row r="7" ht="15" customHeight="1">
      <c r="A7" t="inlineStr">
        <is>
          <t>A 41892-2019</t>
        </is>
      </c>
      <c r="B7" s="1" t="n">
        <v>43700</v>
      </c>
      <c r="C7" s="1" t="n">
        <v>45186</v>
      </c>
      <c r="D7" t="inlineStr">
        <is>
          <t>DALARNAS LÄN</t>
        </is>
      </c>
      <c r="E7" t="inlineStr">
        <is>
          <t>GAGNEF</t>
        </is>
      </c>
      <c r="G7" t="n">
        <v>8.300000000000001</v>
      </c>
      <c r="H7" t="n">
        <v>0</v>
      </c>
      <c r="I7" t="n">
        <v>0</v>
      </c>
      <c r="J7" t="n">
        <v>5</v>
      </c>
      <c r="K7" t="n">
        <v>0</v>
      </c>
      <c r="L7" t="n">
        <v>0</v>
      </c>
      <c r="M7" t="n">
        <v>0</v>
      </c>
      <c r="N7" t="n">
        <v>0</v>
      </c>
      <c r="O7" t="n">
        <v>5</v>
      </c>
      <c r="P7" t="n">
        <v>0</v>
      </c>
      <c r="Q7" t="n">
        <v>5</v>
      </c>
      <c r="R7" s="2" t="inlineStr">
        <is>
          <t>Doftskinn
Garnlav
Kolflarnlav
Vedskivlav
Violettgrå tagellav</t>
        </is>
      </c>
      <c r="S7">
        <f>HYPERLINK("https://klasma.github.io/Logging_GAGNEF/artfynd/A 41892-2019.xlsx", "A 41892-2019")</f>
        <v/>
      </c>
      <c r="T7">
        <f>HYPERLINK("https://klasma.github.io/Logging_GAGNEF/kartor/A 41892-2019.png", "A 41892-2019")</f>
        <v/>
      </c>
      <c r="V7">
        <f>HYPERLINK("https://klasma.github.io/Logging_GAGNEF/klagomål/A 41892-2019.docx", "A 41892-2019")</f>
        <v/>
      </c>
      <c r="W7">
        <f>HYPERLINK("https://klasma.github.io/Logging_GAGNEF/klagomålsmail/A 41892-2019.docx", "A 41892-2019")</f>
        <v/>
      </c>
      <c r="X7">
        <f>HYPERLINK("https://klasma.github.io/Logging_GAGNEF/tillsyn/A 41892-2019.docx", "A 41892-2019")</f>
        <v/>
      </c>
      <c r="Y7">
        <f>HYPERLINK("https://klasma.github.io/Logging_GAGNEF/tillsynsmail/A 41892-2019.docx", "A 41892-2019")</f>
        <v/>
      </c>
    </row>
    <row r="8" ht="15" customHeight="1">
      <c r="A8" t="inlineStr">
        <is>
          <t>A 39885-2020</t>
        </is>
      </c>
      <c r="B8" s="1" t="n">
        <v>44067</v>
      </c>
      <c r="C8" s="1" t="n">
        <v>45186</v>
      </c>
      <c r="D8" t="inlineStr">
        <is>
          <t>DALARNAS LÄN</t>
        </is>
      </c>
      <c r="E8" t="inlineStr">
        <is>
          <t>GAGNEF</t>
        </is>
      </c>
      <c r="G8" t="n">
        <v>8</v>
      </c>
      <c r="H8" t="n">
        <v>0</v>
      </c>
      <c r="I8" t="n">
        <v>2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0</v>
      </c>
      <c r="Q8" t="n">
        <v>5</v>
      </c>
      <c r="R8" s="2" t="inlineStr">
        <is>
          <t>Gammelgransskål
Garnlav
Ullticka
Kattfotslav
Vedticka</t>
        </is>
      </c>
      <c r="S8">
        <f>HYPERLINK("https://klasma.github.io/Logging_GAGNEF/artfynd/A 39885-2020.xlsx", "A 39885-2020")</f>
        <v/>
      </c>
      <c r="T8">
        <f>HYPERLINK("https://klasma.github.io/Logging_GAGNEF/kartor/A 39885-2020.png", "A 39885-2020")</f>
        <v/>
      </c>
      <c r="V8">
        <f>HYPERLINK("https://klasma.github.io/Logging_GAGNEF/klagomål/A 39885-2020.docx", "A 39885-2020")</f>
        <v/>
      </c>
      <c r="W8">
        <f>HYPERLINK("https://klasma.github.io/Logging_GAGNEF/klagomålsmail/A 39885-2020.docx", "A 39885-2020")</f>
        <v/>
      </c>
      <c r="X8">
        <f>HYPERLINK("https://klasma.github.io/Logging_GAGNEF/tillsyn/A 39885-2020.docx", "A 39885-2020")</f>
        <v/>
      </c>
      <c r="Y8">
        <f>HYPERLINK("https://klasma.github.io/Logging_GAGNEF/tillsynsmail/A 39885-2020.docx", "A 39885-2020")</f>
        <v/>
      </c>
    </row>
    <row r="9" ht="15" customHeight="1">
      <c r="A9" t="inlineStr">
        <is>
          <t>A 5045-2023</t>
        </is>
      </c>
      <c r="B9" s="1" t="n">
        <v>44958</v>
      </c>
      <c r="C9" s="1" t="n">
        <v>45186</v>
      </c>
      <c r="D9" t="inlineStr">
        <is>
          <t>DALARNAS LÄN</t>
        </is>
      </c>
      <c r="E9" t="inlineStr">
        <is>
          <t>GAGNEF</t>
        </is>
      </c>
      <c r="G9" t="n">
        <v>1.9</v>
      </c>
      <c r="H9" t="n">
        <v>0</v>
      </c>
      <c r="I9" t="n">
        <v>0</v>
      </c>
      <c r="J9" t="n">
        <v>2</v>
      </c>
      <c r="K9" t="n">
        <v>1</v>
      </c>
      <c r="L9" t="n">
        <v>0</v>
      </c>
      <c r="M9" t="n">
        <v>0</v>
      </c>
      <c r="N9" t="n">
        <v>0</v>
      </c>
      <c r="O9" t="n">
        <v>3</v>
      </c>
      <c r="P9" t="n">
        <v>1</v>
      </c>
      <c r="Q9" t="n">
        <v>3</v>
      </c>
      <c r="R9" s="2" t="inlineStr">
        <is>
          <t>Rynkskinn
Rosenticka
Ullticka</t>
        </is>
      </c>
      <c r="S9">
        <f>HYPERLINK("https://klasma.github.io/Logging_GAGNEF/artfynd/A 5045-2023.xlsx", "A 5045-2023")</f>
        <v/>
      </c>
      <c r="T9">
        <f>HYPERLINK("https://klasma.github.io/Logging_GAGNEF/kartor/A 5045-2023.png", "A 5045-2023")</f>
        <v/>
      </c>
      <c r="V9">
        <f>HYPERLINK("https://klasma.github.io/Logging_GAGNEF/klagomål/A 5045-2023.docx", "A 5045-2023")</f>
        <v/>
      </c>
      <c r="W9">
        <f>HYPERLINK("https://klasma.github.io/Logging_GAGNEF/klagomålsmail/A 5045-2023.docx", "A 5045-2023")</f>
        <v/>
      </c>
      <c r="X9">
        <f>HYPERLINK("https://klasma.github.io/Logging_GAGNEF/tillsyn/A 5045-2023.docx", "A 5045-2023")</f>
        <v/>
      </c>
      <c r="Y9">
        <f>HYPERLINK("https://klasma.github.io/Logging_GAGNEF/tillsynsmail/A 5045-2023.docx", "A 5045-2023")</f>
        <v/>
      </c>
    </row>
    <row r="10" ht="15" customHeight="1">
      <c r="A10" t="inlineStr">
        <is>
          <t>A 20403-2023</t>
        </is>
      </c>
      <c r="B10" s="1" t="n">
        <v>45056</v>
      </c>
      <c r="C10" s="1" t="n">
        <v>45186</v>
      </c>
      <c r="D10" t="inlineStr">
        <is>
          <t>DALARNAS LÄN</t>
        </is>
      </c>
      <c r="E10" t="inlineStr">
        <is>
          <t>GAGNEF</t>
        </is>
      </c>
      <c r="G10" t="n">
        <v>9.6</v>
      </c>
      <c r="H10" t="n">
        <v>2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</v>
      </c>
      <c r="R10" s="2" t="inlineStr">
        <is>
          <t>Tvåblad
Underviol
Fläcknycklar</t>
        </is>
      </c>
      <c r="S10">
        <f>HYPERLINK("https://klasma.github.io/Logging_GAGNEF/artfynd/A 20403-2023.xlsx", "A 20403-2023")</f>
        <v/>
      </c>
      <c r="T10">
        <f>HYPERLINK("https://klasma.github.io/Logging_GAGNEF/kartor/A 20403-2023.png", "A 20403-2023")</f>
        <v/>
      </c>
      <c r="V10">
        <f>HYPERLINK("https://klasma.github.io/Logging_GAGNEF/klagomål/A 20403-2023.docx", "A 20403-2023")</f>
        <v/>
      </c>
      <c r="W10">
        <f>HYPERLINK("https://klasma.github.io/Logging_GAGNEF/klagomålsmail/A 20403-2023.docx", "A 20403-2023")</f>
        <v/>
      </c>
      <c r="X10">
        <f>HYPERLINK("https://klasma.github.io/Logging_GAGNEF/tillsyn/A 20403-2023.docx", "A 20403-2023")</f>
        <v/>
      </c>
      <c r="Y10">
        <f>HYPERLINK("https://klasma.github.io/Logging_GAGNEF/tillsynsmail/A 20403-2023.docx", "A 20403-2023")</f>
        <v/>
      </c>
    </row>
    <row r="11" ht="15" customHeight="1">
      <c r="A11" t="inlineStr">
        <is>
          <t>A 377-2023</t>
        </is>
      </c>
      <c r="B11" s="1" t="n">
        <v>44929</v>
      </c>
      <c r="C11" s="1" t="n">
        <v>45186</v>
      </c>
      <c r="D11" t="inlineStr">
        <is>
          <t>DALARNAS LÄN</t>
        </is>
      </c>
      <c r="E11" t="inlineStr">
        <is>
          <t>GAGNEF</t>
        </is>
      </c>
      <c r="G11" t="n">
        <v>1.7</v>
      </c>
      <c r="H11" t="n">
        <v>1</v>
      </c>
      <c r="I11" t="n">
        <v>0</v>
      </c>
      <c r="J11" t="n">
        <v>2</v>
      </c>
      <c r="K11" t="n">
        <v>0</v>
      </c>
      <c r="L11" t="n">
        <v>0</v>
      </c>
      <c r="M11" t="n">
        <v>0</v>
      </c>
      <c r="N11" t="n">
        <v>0</v>
      </c>
      <c r="O11" t="n">
        <v>2</v>
      </c>
      <c r="P11" t="n">
        <v>0</v>
      </c>
      <c r="Q11" t="n">
        <v>2</v>
      </c>
      <c r="R11" s="2" t="inlineStr">
        <is>
          <t>Lunglav
Svartvit flugsnappare</t>
        </is>
      </c>
      <c r="S11">
        <f>HYPERLINK("https://klasma.github.io/Logging_GAGNEF/artfynd/A 377-2023.xlsx", "A 377-2023")</f>
        <v/>
      </c>
      <c r="T11">
        <f>HYPERLINK("https://klasma.github.io/Logging_GAGNEF/kartor/A 377-2023.png", "A 377-2023")</f>
        <v/>
      </c>
      <c r="V11">
        <f>HYPERLINK("https://klasma.github.io/Logging_GAGNEF/klagomål/A 377-2023.docx", "A 377-2023")</f>
        <v/>
      </c>
      <c r="W11">
        <f>HYPERLINK("https://klasma.github.io/Logging_GAGNEF/klagomålsmail/A 377-2023.docx", "A 377-2023")</f>
        <v/>
      </c>
      <c r="X11">
        <f>HYPERLINK("https://klasma.github.io/Logging_GAGNEF/tillsyn/A 377-2023.docx", "A 377-2023")</f>
        <v/>
      </c>
      <c r="Y11">
        <f>HYPERLINK("https://klasma.github.io/Logging_GAGNEF/tillsynsmail/A 377-2023.docx", "A 377-2023")</f>
        <v/>
      </c>
    </row>
    <row r="12" ht="15" customHeight="1">
      <c r="A12" t="inlineStr">
        <is>
          <t>A 23496-2019</t>
        </is>
      </c>
      <c r="B12" s="1" t="n">
        <v>43594</v>
      </c>
      <c r="C12" s="1" t="n">
        <v>45186</v>
      </c>
      <c r="D12" t="inlineStr">
        <is>
          <t>DALARNAS LÄN</t>
        </is>
      </c>
      <c r="E12" t="inlineStr">
        <is>
          <t>GAGNEF</t>
        </is>
      </c>
      <c r="G12" t="n">
        <v>1.5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s="2" t="inlineStr">
        <is>
          <t>Garnlav</t>
        </is>
      </c>
      <c r="S12">
        <f>HYPERLINK("https://klasma.github.io/Logging_GAGNEF/artfynd/A 23496-2019.xlsx", "A 23496-2019")</f>
        <v/>
      </c>
      <c r="T12">
        <f>HYPERLINK("https://klasma.github.io/Logging_GAGNEF/kartor/A 23496-2019.png", "A 23496-2019")</f>
        <v/>
      </c>
      <c r="V12">
        <f>HYPERLINK("https://klasma.github.io/Logging_GAGNEF/klagomål/A 23496-2019.docx", "A 23496-2019")</f>
        <v/>
      </c>
      <c r="W12">
        <f>HYPERLINK("https://klasma.github.io/Logging_GAGNEF/klagomålsmail/A 23496-2019.docx", "A 23496-2019")</f>
        <v/>
      </c>
      <c r="X12">
        <f>HYPERLINK("https://klasma.github.io/Logging_GAGNEF/tillsyn/A 23496-2019.docx", "A 23496-2019")</f>
        <v/>
      </c>
      <c r="Y12">
        <f>HYPERLINK("https://klasma.github.io/Logging_GAGNEF/tillsynsmail/A 23496-2019.docx", "A 23496-2019")</f>
        <v/>
      </c>
    </row>
    <row r="13" ht="15" customHeight="1">
      <c r="A13" t="inlineStr">
        <is>
          <t>A 28876-2019</t>
        </is>
      </c>
      <c r="B13" s="1" t="n">
        <v>43628</v>
      </c>
      <c r="C13" s="1" t="n">
        <v>45186</v>
      </c>
      <c r="D13" t="inlineStr">
        <is>
          <t>DALARNAS LÄN</t>
        </is>
      </c>
      <c r="E13" t="inlineStr">
        <is>
          <t>GAGNEF</t>
        </is>
      </c>
      <c r="G13" t="n">
        <v>11.8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s="2" t="inlineStr">
        <is>
          <t>Knärot</t>
        </is>
      </c>
      <c r="S13">
        <f>HYPERLINK("https://klasma.github.io/Logging_GAGNEF/artfynd/A 28876-2019.xlsx", "A 28876-2019")</f>
        <v/>
      </c>
      <c r="T13">
        <f>HYPERLINK("https://klasma.github.io/Logging_GAGNEF/kartor/A 28876-2019.png", "A 28876-2019")</f>
        <v/>
      </c>
      <c r="U13">
        <f>HYPERLINK("https://klasma.github.io/Logging_GAGNEF/knärot/A 28876-2019.png", "A 28876-2019")</f>
        <v/>
      </c>
      <c r="V13">
        <f>HYPERLINK("https://klasma.github.io/Logging_GAGNEF/klagomål/A 28876-2019.docx", "A 28876-2019")</f>
        <v/>
      </c>
      <c r="W13">
        <f>HYPERLINK("https://klasma.github.io/Logging_GAGNEF/klagomålsmail/A 28876-2019.docx", "A 28876-2019")</f>
        <v/>
      </c>
      <c r="X13">
        <f>HYPERLINK("https://klasma.github.io/Logging_GAGNEF/tillsyn/A 28876-2019.docx", "A 28876-2019")</f>
        <v/>
      </c>
      <c r="Y13">
        <f>HYPERLINK("https://klasma.github.io/Logging_GAGNEF/tillsynsmail/A 28876-2019.docx", "A 28876-2019")</f>
        <v/>
      </c>
    </row>
    <row r="14" ht="15" customHeight="1">
      <c r="A14" t="inlineStr">
        <is>
          <t>A 66257-2019</t>
        </is>
      </c>
      <c r="B14" s="1" t="n">
        <v>43804</v>
      </c>
      <c r="C14" s="1" t="n">
        <v>45186</v>
      </c>
      <c r="D14" t="inlineStr">
        <is>
          <t>DALARNAS LÄN</t>
        </is>
      </c>
      <c r="E14" t="inlineStr">
        <is>
          <t>GAGNEF</t>
        </is>
      </c>
      <c r="G14" t="n">
        <v>14.7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s="2" t="inlineStr">
        <is>
          <t>Garnlav</t>
        </is>
      </c>
      <c r="S14">
        <f>HYPERLINK("https://klasma.github.io/Logging_GAGNEF/artfynd/A 66257-2019.xlsx", "A 66257-2019")</f>
        <v/>
      </c>
      <c r="T14">
        <f>HYPERLINK("https://klasma.github.io/Logging_GAGNEF/kartor/A 66257-2019.png", "A 66257-2019")</f>
        <v/>
      </c>
      <c r="V14">
        <f>HYPERLINK("https://klasma.github.io/Logging_GAGNEF/klagomål/A 66257-2019.docx", "A 66257-2019")</f>
        <v/>
      </c>
      <c r="W14">
        <f>HYPERLINK("https://klasma.github.io/Logging_GAGNEF/klagomålsmail/A 66257-2019.docx", "A 66257-2019")</f>
        <v/>
      </c>
      <c r="X14">
        <f>HYPERLINK("https://klasma.github.io/Logging_GAGNEF/tillsyn/A 66257-2019.docx", "A 66257-2019")</f>
        <v/>
      </c>
      <c r="Y14">
        <f>HYPERLINK("https://klasma.github.io/Logging_GAGNEF/tillsynsmail/A 66257-2019.docx", "A 66257-2019")</f>
        <v/>
      </c>
    </row>
    <row r="15" ht="15" customHeight="1">
      <c r="A15" t="inlineStr">
        <is>
          <t>A 12873-2021</t>
        </is>
      </c>
      <c r="B15" s="1" t="n">
        <v>44270</v>
      </c>
      <c r="C15" s="1" t="n">
        <v>45186</v>
      </c>
      <c r="D15" t="inlineStr">
        <is>
          <t>DALARNAS LÄN</t>
        </is>
      </c>
      <c r="E15" t="inlineStr">
        <is>
          <t>GAGNEF</t>
        </is>
      </c>
      <c r="F15" t="inlineStr">
        <is>
          <t>Kommuner</t>
        </is>
      </c>
      <c r="G15" t="n">
        <v>0.8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s="2" t="inlineStr">
        <is>
          <t>Mindre hackspett</t>
        </is>
      </c>
      <c r="S15">
        <f>HYPERLINK("https://klasma.github.io/Logging_GAGNEF/artfynd/A 12873-2021.xlsx", "A 12873-2021")</f>
        <v/>
      </c>
      <c r="T15">
        <f>HYPERLINK("https://klasma.github.io/Logging_GAGNEF/kartor/A 12873-2021.png", "A 12873-2021")</f>
        <v/>
      </c>
      <c r="V15">
        <f>HYPERLINK("https://klasma.github.io/Logging_GAGNEF/klagomål/A 12873-2021.docx", "A 12873-2021")</f>
        <v/>
      </c>
      <c r="W15">
        <f>HYPERLINK("https://klasma.github.io/Logging_GAGNEF/klagomålsmail/A 12873-2021.docx", "A 12873-2021")</f>
        <v/>
      </c>
      <c r="X15">
        <f>HYPERLINK("https://klasma.github.io/Logging_GAGNEF/tillsyn/A 12873-2021.docx", "A 12873-2021")</f>
        <v/>
      </c>
      <c r="Y15">
        <f>HYPERLINK("https://klasma.github.io/Logging_GAGNEF/tillsynsmail/A 12873-2021.docx", "A 12873-2021")</f>
        <v/>
      </c>
    </row>
    <row r="16" ht="15" customHeight="1">
      <c r="A16" t="inlineStr">
        <is>
          <t>A 64510-2021</t>
        </is>
      </c>
      <c r="B16" s="1" t="n">
        <v>44511</v>
      </c>
      <c r="C16" s="1" t="n">
        <v>45186</v>
      </c>
      <c r="D16" t="inlineStr">
        <is>
          <t>DALARNAS LÄN</t>
        </is>
      </c>
      <c r="E16" t="inlineStr">
        <is>
          <t>GAGNEF</t>
        </is>
      </c>
      <c r="G16" t="n">
        <v>2.7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s="2" t="inlineStr">
        <is>
          <t>Grönhjon</t>
        </is>
      </c>
      <c r="S16">
        <f>HYPERLINK("https://klasma.github.io/Logging_GAGNEF/artfynd/A 64510-2021.xlsx", "A 64510-2021")</f>
        <v/>
      </c>
      <c r="T16">
        <f>HYPERLINK("https://klasma.github.io/Logging_GAGNEF/kartor/A 64510-2021.png", "A 64510-2021")</f>
        <v/>
      </c>
      <c r="V16">
        <f>HYPERLINK("https://klasma.github.io/Logging_GAGNEF/klagomål/A 64510-2021.docx", "A 64510-2021")</f>
        <v/>
      </c>
      <c r="W16">
        <f>HYPERLINK("https://klasma.github.io/Logging_GAGNEF/klagomålsmail/A 64510-2021.docx", "A 64510-2021")</f>
        <v/>
      </c>
      <c r="X16">
        <f>HYPERLINK("https://klasma.github.io/Logging_GAGNEF/tillsyn/A 64510-2021.docx", "A 64510-2021")</f>
        <v/>
      </c>
      <c r="Y16">
        <f>HYPERLINK("https://klasma.github.io/Logging_GAGNEF/tillsynsmail/A 64510-2021.docx", "A 64510-2021")</f>
        <v/>
      </c>
    </row>
    <row r="17" ht="15" customHeight="1">
      <c r="A17" t="inlineStr">
        <is>
          <t>A 20939-2023</t>
        </is>
      </c>
      <c r="B17" s="1" t="n">
        <v>45061</v>
      </c>
      <c r="C17" s="1" t="n">
        <v>45186</v>
      </c>
      <c r="D17" t="inlineStr">
        <is>
          <t>DALARNAS LÄN</t>
        </is>
      </c>
      <c r="E17" t="inlineStr">
        <is>
          <t>GAGNEF</t>
        </is>
      </c>
      <c r="G17" t="n">
        <v>6.8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s="2" t="inlineStr">
        <is>
          <t>Gräsull</t>
        </is>
      </c>
      <c r="S17">
        <f>HYPERLINK("https://klasma.github.io/Logging_GAGNEF/artfynd/A 20939-2023.xlsx", "A 20939-2023")</f>
        <v/>
      </c>
      <c r="T17">
        <f>HYPERLINK("https://klasma.github.io/Logging_GAGNEF/kartor/A 20939-2023.png", "A 20939-2023")</f>
        <v/>
      </c>
      <c r="V17">
        <f>HYPERLINK("https://klasma.github.io/Logging_GAGNEF/klagomål/A 20939-2023.docx", "A 20939-2023")</f>
        <v/>
      </c>
      <c r="W17">
        <f>HYPERLINK("https://klasma.github.io/Logging_GAGNEF/klagomålsmail/A 20939-2023.docx", "A 20939-2023")</f>
        <v/>
      </c>
      <c r="X17">
        <f>HYPERLINK("https://klasma.github.io/Logging_GAGNEF/tillsyn/A 20939-2023.docx", "A 20939-2023")</f>
        <v/>
      </c>
      <c r="Y17">
        <f>HYPERLINK("https://klasma.github.io/Logging_GAGNEF/tillsynsmail/A 20939-2023.docx", "A 20939-2023")</f>
        <v/>
      </c>
    </row>
    <row r="18" ht="15" customHeight="1">
      <c r="A18" t="inlineStr">
        <is>
          <t>A 35382-2023</t>
        </is>
      </c>
      <c r="B18" s="1" t="n">
        <v>45146</v>
      </c>
      <c r="C18" s="1" t="n">
        <v>45186</v>
      </c>
      <c r="D18" t="inlineStr">
        <is>
          <t>DALARNAS LÄN</t>
        </is>
      </c>
      <c r="E18" t="inlineStr">
        <is>
          <t>GAGNEF</t>
        </is>
      </c>
      <c r="G18" t="n">
        <v>4.1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s="2" t="inlineStr">
        <is>
          <t>Nästlav</t>
        </is>
      </c>
      <c r="S18">
        <f>HYPERLINK("https://klasma.github.io/Logging_GAGNEF/artfynd/A 35382-2023.xlsx", "A 35382-2023")</f>
        <v/>
      </c>
      <c r="T18">
        <f>HYPERLINK("https://klasma.github.io/Logging_GAGNEF/kartor/A 35382-2023.png", "A 35382-2023")</f>
        <v/>
      </c>
      <c r="V18">
        <f>HYPERLINK("https://klasma.github.io/Logging_GAGNEF/klagomål/A 35382-2023.docx", "A 35382-2023")</f>
        <v/>
      </c>
      <c r="W18">
        <f>HYPERLINK("https://klasma.github.io/Logging_GAGNEF/klagomålsmail/A 35382-2023.docx", "A 35382-2023")</f>
        <v/>
      </c>
      <c r="X18">
        <f>HYPERLINK("https://klasma.github.io/Logging_GAGNEF/tillsyn/A 35382-2023.docx", "A 35382-2023")</f>
        <v/>
      </c>
      <c r="Y18">
        <f>HYPERLINK("https://klasma.github.io/Logging_GAGNEF/tillsynsmail/A 35382-2023.docx", "A 35382-2023")</f>
        <v/>
      </c>
    </row>
    <row r="19" ht="15" customHeight="1">
      <c r="A19" t="inlineStr">
        <is>
          <t>A 54848-2018</t>
        </is>
      </c>
      <c r="B19" s="1" t="n">
        <v>43396</v>
      </c>
      <c r="C19" s="1" t="n">
        <v>45186</v>
      </c>
      <c r="D19" t="inlineStr">
        <is>
          <t>DALARNAS LÄN</t>
        </is>
      </c>
      <c r="E19" t="inlineStr">
        <is>
          <t>GAGNEF</t>
        </is>
      </c>
      <c r="F19" t="inlineStr">
        <is>
          <t>Bergvik skog väst AB</t>
        </is>
      </c>
      <c r="G19" t="n">
        <v>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s="2" t="inlineStr"/>
    </row>
    <row r="20" ht="15" customHeight="1">
      <c r="A20" t="inlineStr">
        <is>
          <t>A 55250-2018</t>
        </is>
      </c>
      <c r="B20" s="1" t="n">
        <v>43397</v>
      </c>
      <c r="C20" s="1" t="n">
        <v>45186</v>
      </c>
      <c r="D20" t="inlineStr">
        <is>
          <t>DALARNAS LÄN</t>
        </is>
      </c>
      <c r="E20" t="inlineStr">
        <is>
          <t>GAGNEF</t>
        </is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s="2" t="inlineStr"/>
    </row>
    <row r="21" ht="15" customHeight="1">
      <c r="A21" t="inlineStr">
        <is>
          <t>A 56926-2018</t>
        </is>
      </c>
      <c r="B21" s="1" t="n">
        <v>43403</v>
      </c>
      <c r="C21" s="1" t="n">
        <v>45186</v>
      </c>
      <c r="D21" t="inlineStr">
        <is>
          <t>DALARNAS LÄN</t>
        </is>
      </c>
      <c r="E21" t="inlineStr">
        <is>
          <t>GAGNEF</t>
        </is>
      </c>
      <c r="F21" t="inlineStr">
        <is>
          <t>Bergvik skog väst AB</t>
        </is>
      </c>
      <c r="G21" t="n">
        <v>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s="2" t="inlineStr"/>
    </row>
    <row r="22" ht="15" customHeight="1">
      <c r="A22" t="inlineStr">
        <is>
          <t>A 63991-2018</t>
        </is>
      </c>
      <c r="B22" s="1" t="n">
        <v>43404</v>
      </c>
      <c r="C22" s="1" t="n">
        <v>45186</v>
      </c>
      <c r="D22" t="inlineStr">
        <is>
          <t>DALARNAS LÄN</t>
        </is>
      </c>
      <c r="E22" t="inlineStr">
        <is>
          <t>GAGNEF</t>
        </is>
      </c>
      <c r="F22" t="inlineStr">
        <is>
          <t>Bergvik skog väst AB</t>
        </is>
      </c>
      <c r="G22" t="n">
        <v>0.4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s="2" t="inlineStr"/>
    </row>
    <row r="23" ht="15" customHeight="1">
      <c r="A23" t="inlineStr">
        <is>
          <t>A 57695-2018</t>
        </is>
      </c>
      <c r="B23" s="1" t="n">
        <v>43405</v>
      </c>
      <c r="C23" s="1" t="n">
        <v>45186</v>
      </c>
      <c r="D23" t="inlineStr">
        <is>
          <t>DALARNAS LÄN</t>
        </is>
      </c>
      <c r="E23" t="inlineStr">
        <is>
          <t>GAGNEF</t>
        </is>
      </c>
      <c r="G23" t="n">
        <v>3.2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s="2" t="inlineStr"/>
    </row>
    <row r="24" ht="15" customHeight="1">
      <c r="A24" t="inlineStr">
        <is>
          <t>A 58031-2018</t>
        </is>
      </c>
      <c r="B24" s="1" t="n">
        <v>43406</v>
      </c>
      <c r="C24" s="1" t="n">
        <v>45186</v>
      </c>
      <c r="D24" t="inlineStr">
        <is>
          <t>DALARNAS LÄN</t>
        </is>
      </c>
      <c r="E24" t="inlineStr">
        <is>
          <t>GAGNEF</t>
        </is>
      </c>
      <c r="G24" t="n">
        <v>1.9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s="2" t="inlineStr"/>
    </row>
    <row r="25" ht="15" customHeight="1">
      <c r="A25" t="inlineStr">
        <is>
          <t>A 61719-2018</t>
        </is>
      </c>
      <c r="B25" s="1" t="n">
        <v>43410</v>
      </c>
      <c r="C25" s="1" t="n">
        <v>45186</v>
      </c>
      <c r="D25" t="inlineStr">
        <is>
          <t>DALARNAS LÄN</t>
        </is>
      </c>
      <c r="E25" t="inlineStr">
        <is>
          <t>GAGNEF</t>
        </is>
      </c>
      <c r="G25" t="n">
        <v>2.7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s="2" t="inlineStr"/>
    </row>
    <row r="26" ht="15" customHeight="1">
      <c r="A26" t="inlineStr">
        <is>
          <t>A 61873-2018</t>
        </is>
      </c>
      <c r="B26" s="1" t="n">
        <v>43413</v>
      </c>
      <c r="C26" s="1" t="n">
        <v>45186</v>
      </c>
      <c r="D26" t="inlineStr">
        <is>
          <t>DALARNAS LÄN</t>
        </is>
      </c>
      <c r="E26" t="inlineStr">
        <is>
          <t>GAGNEF</t>
        </is>
      </c>
      <c r="G26" t="n">
        <v>12.5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s="2" t="inlineStr"/>
    </row>
    <row r="27" ht="15" customHeight="1">
      <c r="A27" t="inlineStr">
        <is>
          <t>A 61874-2018</t>
        </is>
      </c>
      <c r="B27" s="1" t="n">
        <v>43413</v>
      </c>
      <c r="C27" s="1" t="n">
        <v>45186</v>
      </c>
      <c r="D27" t="inlineStr">
        <is>
          <t>DALARNAS LÄN</t>
        </is>
      </c>
      <c r="E27" t="inlineStr">
        <is>
          <t>GAGNEF</t>
        </is>
      </c>
      <c r="G27" t="n">
        <v>12.5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s="2" t="inlineStr"/>
    </row>
    <row r="28" ht="15" customHeight="1">
      <c r="A28" t="inlineStr">
        <is>
          <t>A 62435-2018</t>
        </is>
      </c>
      <c r="B28" s="1" t="n">
        <v>43416</v>
      </c>
      <c r="C28" s="1" t="n">
        <v>45186</v>
      </c>
      <c r="D28" t="inlineStr">
        <is>
          <t>DALARNAS LÄN</t>
        </is>
      </c>
      <c r="E28" t="inlineStr">
        <is>
          <t>GAGNEF</t>
        </is>
      </c>
      <c r="F28" t="inlineStr">
        <is>
          <t>Bergvik skog väst AB</t>
        </is>
      </c>
      <c r="G28" t="n">
        <v>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s="2" t="inlineStr"/>
    </row>
    <row r="29" ht="15" customHeight="1">
      <c r="A29" t="inlineStr">
        <is>
          <t>A 62004-2018</t>
        </is>
      </c>
      <c r="B29" s="1" t="n">
        <v>43417</v>
      </c>
      <c r="C29" s="1" t="n">
        <v>45186</v>
      </c>
      <c r="D29" t="inlineStr">
        <is>
          <t>DALARNAS LÄN</t>
        </is>
      </c>
      <c r="E29" t="inlineStr">
        <is>
          <t>GAGNEF</t>
        </is>
      </c>
      <c r="F29" t="inlineStr">
        <is>
          <t>Bergvik skog väst AB</t>
        </is>
      </c>
      <c r="G29" t="n">
        <v>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s="2" t="inlineStr"/>
    </row>
    <row r="30" ht="15" customHeight="1">
      <c r="A30" t="inlineStr">
        <is>
          <t>A 60553-2018</t>
        </is>
      </c>
      <c r="B30" s="1" t="n">
        <v>43420</v>
      </c>
      <c r="C30" s="1" t="n">
        <v>45186</v>
      </c>
      <c r="D30" t="inlineStr">
        <is>
          <t>DALARNAS LÄN</t>
        </is>
      </c>
      <c r="E30" t="inlineStr">
        <is>
          <t>GAGNEF</t>
        </is>
      </c>
      <c r="G30" t="n">
        <v>10.4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s="2" t="inlineStr"/>
    </row>
    <row r="31" ht="15" customHeight="1">
      <c r="A31" t="inlineStr">
        <is>
          <t>A 60540-2018</t>
        </is>
      </c>
      <c r="B31" s="1" t="n">
        <v>43420</v>
      </c>
      <c r="C31" s="1" t="n">
        <v>45186</v>
      </c>
      <c r="D31" t="inlineStr">
        <is>
          <t>DALARNAS LÄN</t>
        </is>
      </c>
      <c r="E31" t="inlineStr">
        <is>
          <t>GAGNEF</t>
        </is>
      </c>
      <c r="G31" t="n">
        <v>2.9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s="2" t="inlineStr"/>
    </row>
    <row r="32" ht="15" customHeight="1">
      <c r="A32" t="inlineStr">
        <is>
          <t>A 66633-2018</t>
        </is>
      </c>
      <c r="B32" s="1" t="n">
        <v>43430</v>
      </c>
      <c r="C32" s="1" t="n">
        <v>45186</v>
      </c>
      <c r="D32" t="inlineStr">
        <is>
          <t>DALARNAS LÄN</t>
        </is>
      </c>
      <c r="E32" t="inlineStr">
        <is>
          <t>GAGNEF</t>
        </is>
      </c>
      <c r="G32" t="n">
        <v>4.3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s="2" t="inlineStr"/>
    </row>
    <row r="33" ht="15" customHeight="1">
      <c r="A33" t="inlineStr">
        <is>
          <t>A 63978-2018</t>
        </is>
      </c>
      <c r="B33" s="1" t="n">
        <v>43430</v>
      </c>
      <c r="C33" s="1" t="n">
        <v>45186</v>
      </c>
      <c r="D33" t="inlineStr">
        <is>
          <t>DALARNAS LÄN</t>
        </is>
      </c>
      <c r="E33" t="inlineStr">
        <is>
          <t>GAGNEF</t>
        </is>
      </c>
      <c r="F33" t="inlineStr">
        <is>
          <t>Bergvik skog väst AB</t>
        </is>
      </c>
      <c r="G33" t="n">
        <v>17.6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s="2" t="inlineStr"/>
    </row>
    <row r="34" ht="15" customHeight="1">
      <c r="A34" t="inlineStr">
        <is>
          <t>A 66617-2018</t>
        </is>
      </c>
      <c r="B34" s="1" t="n">
        <v>43430</v>
      </c>
      <c r="C34" s="1" t="n">
        <v>45186</v>
      </c>
      <c r="D34" t="inlineStr">
        <is>
          <t>DALARNAS LÄN</t>
        </is>
      </c>
      <c r="E34" t="inlineStr">
        <is>
          <t>GAGNEF</t>
        </is>
      </c>
      <c r="G34" t="n">
        <v>1.2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s="2" t="inlineStr"/>
    </row>
    <row r="35" ht="15" customHeight="1">
      <c r="A35" t="inlineStr">
        <is>
          <t>A 64648-2018</t>
        </is>
      </c>
      <c r="B35" s="1" t="n">
        <v>43431</v>
      </c>
      <c r="C35" s="1" t="n">
        <v>45186</v>
      </c>
      <c r="D35" t="inlineStr">
        <is>
          <t>DALARNAS LÄN</t>
        </is>
      </c>
      <c r="E35" t="inlineStr">
        <is>
          <t>GAGNEF</t>
        </is>
      </c>
      <c r="G35" t="n">
        <v>1.4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s="2" t="inlineStr"/>
    </row>
    <row r="36" ht="15" customHeight="1">
      <c r="A36" t="inlineStr">
        <is>
          <t>A 66650-2018</t>
        </is>
      </c>
      <c r="B36" s="1" t="n">
        <v>43437</v>
      </c>
      <c r="C36" s="1" t="n">
        <v>45186</v>
      </c>
      <c r="D36" t="inlineStr">
        <is>
          <t>DALARNAS LÄN</t>
        </is>
      </c>
      <c r="E36" t="inlineStr">
        <is>
          <t>GAGNEF</t>
        </is>
      </c>
      <c r="G36" t="n">
        <v>0.8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s="2" t="inlineStr"/>
    </row>
    <row r="37" ht="15" customHeight="1">
      <c r="A37" t="inlineStr">
        <is>
          <t>A 67553-2018</t>
        </is>
      </c>
      <c r="B37" s="1" t="n">
        <v>43439</v>
      </c>
      <c r="C37" s="1" t="n">
        <v>45186</v>
      </c>
      <c r="D37" t="inlineStr">
        <is>
          <t>DALARNAS LÄN</t>
        </is>
      </c>
      <c r="E37" t="inlineStr">
        <is>
          <t>GAGNEF</t>
        </is>
      </c>
      <c r="G37" t="n">
        <v>2.3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s="2" t="inlineStr"/>
    </row>
    <row r="38" ht="15" customHeight="1">
      <c r="A38" t="inlineStr">
        <is>
          <t>A 68814-2018</t>
        </is>
      </c>
      <c r="B38" s="1" t="n">
        <v>43444</v>
      </c>
      <c r="C38" s="1" t="n">
        <v>45186</v>
      </c>
      <c r="D38" t="inlineStr">
        <is>
          <t>DALARNAS LÄN</t>
        </is>
      </c>
      <c r="E38" t="inlineStr">
        <is>
          <t>GAGNEF</t>
        </is>
      </c>
      <c r="G38" t="n">
        <v>0.4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s="2" t="inlineStr"/>
    </row>
    <row r="39" ht="15" customHeight="1">
      <c r="A39" t="inlineStr">
        <is>
          <t>A 69893-2018</t>
        </is>
      </c>
      <c r="B39" s="1" t="n">
        <v>43447</v>
      </c>
      <c r="C39" s="1" t="n">
        <v>45186</v>
      </c>
      <c r="D39" t="inlineStr">
        <is>
          <t>DALARNAS LÄN</t>
        </is>
      </c>
      <c r="E39" t="inlineStr">
        <is>
          <t>GAGNEF</t>
        </is>
      </c>
      <c r="F39" t="inlineStr">
        <is>
          <t>Bergvik skog väst AB</t>
        </is>
      </c>
      <c r="G39" t="n">
        <v>1.8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s="2" t="inlineStr"/>
    </row>
    <row r="40" ht="15" customHeight="1">
      <c r="A40" t="inlineStr">
        <is>
          <t>A 72539-2018</t>
        </is>
      </c>
      <c r="B40" s="1" t="n">
        <v>43462</v>
      </c>
      <c r="C40" s="1" t="n">
        <v>45186</v>
      </c>
      <c r="D40" t="inlineStr">
        <is>
          <t>DALARNAS LÄN</t>
        </is>
      </c>
      <c r="E40" t="inlineStr">
        <is>
          <t>GAGNEF</t>
        </is>
      </c>
      <c r="G40" t="n">
        <v>1.4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s="2" t="inlineStr"/>
    </row>
    <row r="41" ht="15" customHeight="1">
      <c r="A41" t="inlineStr">
        <is>
          <t>A 777-2019</t>
        </is>
      </c>
      <c r="B41" s="1" t="n">
        <v>43472</v>
      </c>
      <c r="C41" s="1" t="n">
        <v>45186</v>
      </c>
      <c r="D41" t="inlineStr">
        <is>
          <t>DALARNAS LÄN</t>
        </is>
      </c>
      <c r="E41" t="inlineStr">
        <is>
          <t>GAGNEF</t>
        </is>
      </c>
      <c r="G41" t="n">
        <v>5.6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s="2" t="inlineStr"/>
    </row>
    <row r="42" ht="15" customHeight="1">
      <c r="A42" t="inlineStr">
        <is>
          <t>A 1652-2019</t>
        </is>
      </c>
      <c r="B42" s="1" t="n">
        <v>43474</v>
      </c>
      <c r="C42" s="1" t="n">
        <v>45186</v>
      </c>
      <c r="D42" t="inlineStr">
        <is>
          <t>DALARNAS LÄN</t>
        </is>
      </c>
      <c r="E42" t="inlineStr">
        <is>
          <t>GAGNEF</t>
        </is>
      </c>
      <c r="G42" t="n">
        <v>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s="2" t="inlineStr"/>
    </row>
    <row r="43" ht="15" customHeight="1">
      <c r="A43" t="inlineStr">
        <is>
          <t>A 2330-2019</t>
        </is>
      </c>
      <c r="B43" s="1" t="n">
        <v>43476</v>
      </c>
      <c r="C43" s="1" t="n">
        <v>45186</v>
      </c>
      <c r="D43" t="inlineStr">
        <is>
          <t>DALARNAS LÄN</t>
        </is>
      </c>
      <c r="E43" t="inlineStr">
        <is>
          <t>GAGNEF</t>
        </is>
      </c>
      <c r="G43" t="n">
        <v>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s="2" t="inlineStr"/>
    </row>
    <row r="44" ht="15" customHeight="1">
      <c r="A44" t="inlineStr">
        <is>
          <t>A 6060-2019</t>
        </is>
      </c>
      <c r="B44" s="1" t="n">
        <v>43483</v>
      </c>
      <c r="C44" s="1" t="n">
        <v>45186</v>
      </c>
      <c r="D44" t="inlineStr">
        <is>
          <t>DALARNAS LÄN</t>
        </is>
      </c>
      <c r="E44" t="inlineStr">
        <is>
          <t>GAGNEF</t>
        </is>
      </c>
      <c r="G44" t="n">
        <v>5.6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s="2" t="inlineStr"/>
    </row>
    <row r="45" ht="15" customHeight="1">
      <c r="A45" t="inlineStr">
        <is>
          <t>A 6596-2019</t>
        </is>
      </c>
      <c r="B45" s="1" t="n">
        <v>43494</v>
      </c>
      <c r="C45" s="1" t="n">
        <v>45186</v>
      </c>
      <c r="D45" t="inlineStr">
        <is>
          <t>DALARNAS LÄN</t>
        </is>
      </c>
      <c r="E45" t="inlineStr">
        <is>
          <t>GAGNEF</t>
        </is>
      </c>
      <c r="G45" t="n">
        <v>0.9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s="2" t="inlineStr"/>
    </row>
    <row r="46" ht="15" customHeight="1">
      <c r="A46" t="inlineStr">
        <is>
          <t>A 9011-2019</t>
        </is>
      </c>
      <c r="B46" s="1" t="n">
        <v>43504</v>
      </c>
      <c r="C46" s="1" t="n">
        <v>45186</v>
      </c>
      <c r="D46" t="inlineStr">
        <is>
          <t>DALARNAS LÄN</t>
        </is>
      </c>
      <c r="E46" t="inlineStr">
        <is>
          <t>GAGNEF</t>
        </is>
      </c>
      <c r="G46" t="n">
        <v>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s="2" t="inlineStr"/>
    </row>
    <row r="47" ht="15" customHeight="1">
      <c r="A47" t="inlineStr">
        <is>
          <t>A 10767-2019</t>
        </is>
      </c>
      <c r="B47" s="1" t="n">
        <v>43514</v>
      </c>
      <c r="C47" s="1" t="n">
        <v>45186</v>
      </c>
      <c r="D47" t="inlineStr">
        <is>
          <t>DALARNAS LÄN</t>
        </is>
      </c>
      <c r="E47" t="inlineStr">
        <is>
          <t>GAGNEF</t>
        </is>
      </c>
      <c r="G47" t="n">
        <v>0.5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s="2" t="inlineStr"/>
    </row>
    <row r="48" ht="15" customHeight="1">
      <c r="A48" t="inlineStr">
        <is>
          <t>A 12106-2019</t>
        </is>
      </c>
      <c r="B48" s="1" t="n">
        <v>43521</v>
      </c>
      <c r="C48" s="1" t="n">
        <v>45186</v>
      </c>
      <c r="D48" t="inlineStr">
        <is>
          <t>DALARNAS LÄN</t>
        </is>
      </c>
      <c r="E48" t="inlineStr">
        <is>
          <t>GAGNEF</t>
        </is>
      </c>
      <c r="G48" t="n">
        <v>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s="2" t="inlineStr"/>
    </row>
    <row r="49" ht="15" customHeight="1">
      <c r="A49" t="inlineStr">
        <is>
          <t>A 13154-2019</t>
        </is>
      </c>
      <c r="B49" s="1" t="n">
        <v>43528</v>
      </c>
      <c r="C49" s="1" t="n">
        <v>45186</v>
      </c>
      <c r="D49" t="inlineStr">
        <is>
          <t>DALARNAS LÄN</t>
        </is>
      </c>
      <c r="E49" t="inlineStr">
        <is>
          <t>GAGNEF</t>
        </is>
      </c>
      <c r="G49" t="n">
        <v>2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s="2" t="inlineStr"/>
    </row>
    <row r="50" ht="15" customHeight="1">
      <c r="A50" t="inlineStr">
        <is>
          <t>A 17119-2019</t>
        </is>
      </c>
      <c r="B50" s="1" t="n">
        <v>43528</v>
      </c>
      <c r="C50" s="1" t="n">
        <v>45186</v>
      </c>
      <c r="D50" t="inlineStr">
        <is>
          <t>DALARNAS LÄN</t>
        </is>
      </c>
      <c r="E50" t="inlineStr">
        <is>
          <t>GAGNEF</t>
        </is>
      </c>
      <c r="G50" t="n">
        <v>2.8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s="2" t="inlineStr"/>
    </row>
    <row r="51" ht="15" customHeight="1">
      <c r="A51" t="inlineStr">
        <is>
          <t>A 13560-2019</t>
        </is>
      </c>
      <c r="B51" s="1" t="n">
        <v>43530</v>
      </c>
      <c r="C51" s="1" t="n">
        <v>45186</v>
      </c>
      <c r="D51" t="inlineStr">
        <is>
          <t>DALARNAS LÄN</t>
        </is>
      </c>
      <c r="E51" t="inlineStr">
        <is>
          <t>GAGNEF</t>
        </is>
      </c>
      <c r="G51" t="n">
        <v>0.8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s="2" t="inlineStr"/>
    </row>
    <row r="52" ht="15" customHeight="1">
      <c r="A52" t="inlineStr">
        <is>
          <t>A 14825-2019</t>
        </is>
      </c>
      <c r="B52" s="1" t="n">
        <v>43539</v>
      </c>
      <c r="C52" s="1" t="n">
        <v>45186</v>
      </c>
      <c r="D52" t="inlineStr">
        <is>
          <t>DALARNAS LÄN</t>
        </is>
      </c>
      <c r="E52" t="inlineStr">
        <is>
          <t>GAGNEF</t>
        </is>
      </c>
      <c r="G52" t="n">
        <v>3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s="2" t="inlineStr"/>
    </row>
    <row r="53" ht="15" customHeight="1">
      <c r="A53" t="inlineStr">
        <is>
          <t>A 16430-2019</t>
        </is>
      </c>
      <c r="B53" s="1" t="n">
        <v>43546</v>
      </c>
      <c r="C53" s="1" t="n">
        <v>45186</v>
      </c>
      <c r="D53" t="inlineStr">
        <is>
          <t>DALARNAS LÄN</t>
        </is>
      </c>
      <c r="E53" t="inlineStr">
        <is>
          <t>GAGNEF</t>
        </is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s="2" t="inlineStr"/>
    </row>
    <row r="54" ht="15" customHeight="1">
      <c r="A54" t="inlineStr">
        <is>
          <t>A 17253-2019</t>
        </is>
      </c>
      <c r="B54" s="1" t="n">
        <v>43552</v>
      </c>
      <c r="C54" s="1" t="n">
        <v>45186</v>
      </c>
      <c r="D54" t="inlineStr">
        <is>
          <t>DALARNAS LÄN</t>
        </is>
      </c>
      <c r="E54" t="inlineStr">
        <is>
          <t>GAGNEF</t>
        </is>
      </c>
      <c r="G54" t="n">
        <v>0.5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s="2" t="inlineStr"/>
    </row>
    <row r="55" ht="15" customHeight="1">
      <c r="A55" t="inlineStr">
        <is>
          <t>A 18339-2019</t>
        </is>
      </c>
      <c r="B55" s="1" t="n">
        <v>43559</v>
      </c>
      <c r="C55" s="1" t="n">
        <v>45186</v>
      </c>
      <c r="D55" t="inlineStr">
        <is>
          <t>DALARNAS LÄN</t>
        </is>
      </c>
      <c r="E55" t="inlineStr">
        <is>
          <t>GAGNEF</t>
        </is>
      </c>
      <c r="G55" t="n">
        <v>1.3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s="2" t="inlineStr"/>
    </row>
    <row r="56" ht="15" customHeight="1">
      <c r="A56" t="inlineStr">
        <is>
          <t>A 19154-2019</t>
        </is>
      </c>
      <c r="B56" s="1" t="n">
        <v>43564</v>
      </c>
      <c r="C56" s="1" t="n">
        <v>45186</v>
      </c>
      <c r="D56" t="inlineStr">
        <is>
          <t>DALARNAS LÄN</t>
        </is>
      </c>
      <c r="E56" t="inlineStr">
        <is>
          <t>GAGNEF</t>
        </is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s="2" t="inlineStr"/>
    </row>
    <row r="57" ht="15" customHeight="1">
      <c r="A57" t="inlineStr">
        <is>
          <t>A 21900-2019</t>
        </is>
      </c>
      <c r="B57" s="1" t="n">
        <v>43578</v>
      </c>
      <c r="C57" s="1" t="n">
        <v>45186</v>
      </c>
      <c r="D57" t="inlineStr">
        <is>
          <t>DALARNAS LÄN</t>
        </is>
      </c>
      <c r="E57" t="inlineStr">
        <is>
          <t>GAGNEF</t>
        </is>
      </c>
      <c r="G57" t="n">
        <v>2.2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s="2" t="inlineStr"/>
    </row>
    <row r="58" ht="15" customHeight="1">
      <c r="A58" t="inlineStr">
        <is>
          <t>A 22881-2019</t>
        </is>
      </c>
      <c r="B58" s="1" t="n">
        <v>43591</v>
      </c>
      <c r="C58" s="1" t="n">
        <v>45186</v>
      </c>
      <c r="D58" t="inlineStr">
        <is>
          <t>DALARNAS LÄN</t>
        </is>
      </c>
      <c r="E58" t="inlineStr">
        <is>
          <t>GAGNEF</t>
        </is>
      </c>
      <c r="G58" t="n">
        <v>4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s="2" t="inlineStr"/>
    </row>
    <row r="59" ht="15" customHeight="1">
      <c r="A59" t="inlineStr">
        <is>
          <t>A 23757-2019</t>
        </is>
      </c>
      <c r="B59" s="1" t="n">
        <v>43594</v>
      </c>
      <c r="C59" s="1" t="n">
        <v>45186</v>
      </c>
      <c r="D59" t="inlineStr">
        <is>
          <t>DALARNAS LÄN</t>
        </is>
      </c>
      <c r="E59" t="inlineStr">
        <is>
          <t>GAGNEF</t>
        </is>
      </c>
      <c r="G59" t="n">
        <v>4.8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s="2" t="inlineStr"/>
    </row>
    <row r="60" ht="15" customHeight="1">
      <c r="A60" t="inlineStr">
        <is>
          <t>A 24087-2019</t>
        </is>
      </c>
      <c r="B60" s="1" t="n">
        <v>43598</v>
      </c>
      <c r="C60" s="1" t="n">
        <v>45186</v>
      </c>
      <c r="D60" t="inlineStr">
        <is>
          <t>DALARNAS LÄN</t>
        </is>
      </c>
      <c r="E60" t="inlineStr">
        <is>
          <t>GAGNEF</t>
        </is>
      </c>
      <c r="G60" t="n">
        <v>0.7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s="2" t="inlineStr"/>
    </row>
    <row r="61" ht="15" customHeight="1">
      <c r="A61" t="inlineStr">
        <is>
          <t>A 24735-2019</t>
        </is>
      </c>
      <c r="B61" s="1" t="n">
        <v>43601</v>
      </c>
      <c r="C61" s="1" t="n">
        <v>45186</v>
      </c>
      <c r="D61" t="inlineStr">
        <is>
          <t>DALARNAS LÄN</t>
        </is>
      </c>
      <c r="E61" t="inlineStr">
        <is>
          <t>GAGNEF</t>
        </is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s="2" t="inlineStr"/>
    </row>
    <row r="62" ht="15" customHeight="1">
      <c r="A62" t="inlineStr">
        <is>
          <t>A 24626-2019</t>
        </is>
      </c>
      <c r="B62" s="1" t="n">
        <v>43601</v>
      </c>
      <c r="C62" s="1" t="n">
        <v>45186</v>
      </c>
      <c r="D62" t="inlineStr">
        <is>
          <t>DALARNAS LÄN</t>
        </is>
      </c>
      <c r="E62" t="inlineStr">
        <is>
          <t>GAGNEF</t>
        </is>
      </c>
      <c r="G62" t="n">
        <v>1.7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s="2" t="inlineStr"/>
    </row>
    <row r="63" ht="15" customHeight="1">
      <c r="A63" t="inlineStr">
        <is>
          <t>A 25055-2019</t>
        </is>
      </c>
      <c r="B63" s="1" t="n">
        <v>43604</v>
      </c>
      <c r="C63" s="1" t="n">
        <v>45186</v>
      </c>
      <c r="D63" t="inlineStr">
        <is>
          <t>DALARNAS LÄN</t>
        </is>
      </c>
      <c r="E63" t="inlineStr">
        <is>
          <t>GAGNEF</t>
        </is>
      </c>
      <c r="G63" t="n">
        <v>1.5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s="2" t="inlineStr"/>
    </row>
    <row r="64" ht="15" customHeight="1">
      <c r="A64" t="inlineStr">
        <is>
          <t>A 25196-2019</t>
        </is>
      </c>
      <c r="B64" s="1" t="n">
        <v>43605</v>
      </c>
      <c r="C64" s="1" t="n">
        <v>45186</v>
      </c>
      <c r="D64" t="inlineStr">
        <is>
          <t>DALARNAS LÄN</t>
        </is>
      </c>
      <c r="E64" t="inlineStr">
        <is>
          <t>GAGNEF</t>
        </is>
      </c>
      <c r="G64" t="n">
        <v>1.1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s="2" t="inlineStr"/>
    </row>
    <row r="65" ht="15" customHeight="1">
      <c r="A65" t="inlineStr">
        <is>
          <t>A 25249-2019</t>
        </is>
      </c>
      <c r="B65" s="1" t="n">
        <v>43605</v>
      </c>
      <c r="C65" s="1" t="n">
        <v>45186</v>
      </c>
      <c r="D65" t="inlineStr">
        <is>
          <t>DALARNAS LÄN</t>
        </is>
      </c>
      <c r="E65" t="inlineStr">
        <is>
          <t>GAGNEF</t>
        </is>
      </c>
      <c r="G65" t="n">
        <v>0.9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s="2" t="inlineStr"/>
    </row>
    <row r="66" ht="15" customHeight="1">
      <c r="A66" t="inlineStr">
        <is>
          <t>A 25710-2019</t>
        </is>
      </c>
      <c r="B66" s="1" t="n">
        <v>43607</v>
      </c>
      <c r="C66" s="1" t="n">
        <v>45186</v>
      </c>
      <c r="D66" t="inlineStr">
        <is>
          <t>DALARNAS LÄN</t>
        </is>
      </c>
      <c r="E66" t="inlineStr">
        <is>
          <t>GAGNEF</t>
        </is>
      </c>
      <c r="F66" t="inlineStr">
        <is>
          <t>Bergvik skog väst AB</t>
        </is>
      </c>
      <c r="G66" t="n">
        <v>2.6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s="2" t="inlineStr"/>
    </row>
    <row r="67" ht="15" customHeight="1">
      <c r="A67" t="inlineStr">
        <is>
          <t>A 26591-2019</t>
        </is>
      </c>
      <c r="B67" s="1" t="n">
        <v>43612</v>
      </c>
      <c r="C67" s="1" t="n">
        <v>45186</v>
      </c>
      <c r="D67" t="inlineStr">
        <is>
          <t>DALARNAS LÄN</t>
        </is>
      </c>
      <c r="E67" t="inlineStr">
        <is>
          <t>GAGNEF</t>
        </is>
      </c>
      <c r="G67" t="n">
        <v>2.8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s="2" t="inlineStr"/>
    </row>
    <row r="68" ht="15" customHeight="1">
      <c r="A68" t="inlineStr">
        <is>
          <t>A 28924-2019</t>
        </is>
      </c>
      <c r="B68" s="1" t="n">
        <v>43619</v>
      </c>
      <c r="C68" s="1" t="n">
        <v>45186</v>
      </c>
      <c r="D68" t="inlineStr">
        <is>
          <t>DALARNAS LÄN</t>
        </is>
      </c>
      <c r="E68" t="inlineStr">
        <is>
          <t>GAGNEF</t>
        </is>
      </c>
      <c r="G68" t="n">
        <v>0.6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s="2" t="inlineStr"/>
    </row>
    <row r="69" ht="15" customHeight="1">
      <c r="A69" t="inlineStr">
        <is>
          <t>A 28001-2019</t>
        </is>
      </c>
      <c r="B69" s="1" t="n">
        <v>43621</v>
      </c>
      <c r="C69" s="1" t="n">
        <v>45186</v>
      </c>
      <c r="D69" t="inlineStr">
        <is>
          <t>DALARNAS LÄN</t>
        </is>
      </c>
      <c r="E69" t="inlineStr">
        <is>
          <t>GAGNEF</t>
        </is>
      </c>
      <c r="G69" t="n">
        <v>3.5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s="2" t="inlineStr"/>
    </row>
    <row r="70" ht="15" customHeight="1">
      <c r="A70" t="inlineStr">
        <is>
          <t>A 29827-2019</t>
        </is>
      </c>
      <c r="B70" s="1" t="n">
        <v>43633</v>
      </c>
      <c r="C70" s="1" t="n">
        <v>45186</v>
      </c>
      <c r="D70" t="inlineStr">
        <is>
          <t>DALARNAS LÄN</t>
        </is>
      </c>
      <c r="E70" t="inlineStr">
        <is>
          <t>GAGNEF</t>
        </is>
      </c>
      <c r="F70" t="inlineStr">
        <is>
          <t>Bergvik skog väst AB</t>
        </is>
      </c>
      <c r="G70" t="n">
        <v>0.8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s="2" t="inlineStr"/>
    </row>
    <row r="71" ht="15" customHeight="1">
      <c r="A71" t="inlineStr">
        <is>
          <t>A 30522-2019</t>
        </is>
      </c>
      <c r="B71" s="1" t="n">
        <v>43635</v>
      </c>
      <c r="C71" s="1" t="n">
        <v>45186</v>
      </c>
      <c r="D71" t="inlineStr">
        <is>
          <t>DALARNAS LÄN</t>
        </is>
      </c>
      <c r="E71" t="inlineStr">
        <is>
          <t>GAGNEF</t>
        </is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s="2" t="inlineStr"/>
    </row>
    <row r="72" ht="15" customHeight="1">
      <c r="A72" t="inlineStr">
        <is>
          <t>A 30734-2019</t>
        </is>
      </c>
      <c r="B72" s="1" t="n">
        <v>43636</v>
      </c>
      <c r="C72" s="1" t="n">
        <v>45186</v>
      </c>
      <c r="D72" t="inlineStr">
        <is>
          <t>DALARNAS LÄN</t>
        </is>
      </c>
      <c r="E72" t="inlineStr">
        <is>
          <t>GAGNEF</t>
        </is>
      </c>
      <c r="G72" t="n">
        <v>0.4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s="2" t="inlineStr"/>
    </row>
    <row r="73" ht="15" customHeight="1">
      <c r="A73" t="inlineStr">
        <is>
          <t>A 31365-2019</t>
        </is>
      </c>
      <c r="B73" s="1" t="n">
        <v>43636</v>
      </c>
      <c r="C73" s="1" t="n">
        <v>45186</v>
      </c>
      <c r="D73" t="inlineStr">
        <is>
          <t>DALARNAS LÄN</t>
        </is>
      </c>
      <c r="E73" t="inlineStr">
        <is>
          <t>GAGNEF</t>
        </is>
      </c>
      <c r="G73" t="n">
        <v>2.2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s="2" t="inlineStr"/>
    </row>
    <row r="74" ht="15" customHeight="1">
      <c r="A74" t="inlineStr">
        <is>
          <t>A 31170-2019</t>
        </is>
      </c>
      <c r="B74" s="1" t="n">
        <v>43640</v>
      </c>
      <c r="C74" s="1" t="n">
        <v>45186</v>
      </c>
      <c r="D74" t="inlineStr">
        <is>
          <t>DALARNAS LÄN</t>
        </is>
      </c>
      <c r="E74" t="inlineStr">
        <is>
          <t>GAGNEF</t>
        </is>
      </c>
      <c r="G74" t="n">
        <v>1.6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s="2" t="inlineStr"/>
    </row>
    <row r="75" ht="15" customHeight="1">
      <c r="A75" t="inlineStr">
        <is>
          <t>A 31247-2019</t>
        </is>
      </c>
      <c r="B75" s="1" t="n">
        <v>43640</v>
      </c>
      <c r="C75" s="1" t="n">
        <v>45186</v>
      </c>
      <c r="D75" t="inlineStr">
        <is>
          <t>DALARNAS LÄN</t>
        </is>
      </c>
      <c r="E75" t="inlineStr">
        <is>
          <t>GAGNEF</t>
        </is>
      </c>
      <c r="G75" t="n">
        <v>0.7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s="2" t="inlineStr"/>
    </row>
    <row r="76" ht="15" customHeight="1">
      <c r="A76" t="inlineStr">
        <is>
          <t>A 31455-2019</t>
        </is>
      </c>
      <c r="B76" s="1" t="n">
        <v>43641</v>
      </c>
      <c r="C76" s="1" t="n">
        <v>45186</v>
      </c>
      <c r="D76" t="inlineStr">
        <is>
          <t>DALARNAS LÄN</t>
        </is>
      </c>
      <c r="E76" t="inlineStr">
        <is>
          <t>GAGNEF</t>
        </is>
      </c>
      <c r="G76" t="n">
        <v>1.2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s="2" t="inlineStr"/>
    </row>
    <row r="77" ht="15" customHeight="1">
      <c r="A77" t="inlineStr">
        <is>
          <t>A 31732-2019</t>
        </is>
      </c>
      <c r="B77" s="1" t="n">
        <v>43642</v>
      </c>
      <c r="C77" s="1" t="n">
        <v>45186</v>
      </c>
      <c r="D77" t="inlineStr">
        <is>
          <t>DALARNAS LÄN</t>
        </is>
      </c>
      <c r="E77" t="inlineStr">
        <is>
          <t>GAGNEF</t>
        </is>
      </c>
      <c r="G77" t="n">
        <v>2.3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s="2" t="inlineStr"/>
    </row>
    <row r="78" ht="15" customHeight="1">
      <c r="A78" t="inlineStr">
        <is>
          <t>A 31823-2019</t>
        </is>
      </c>
      <c r="B78" s="1" t="n">
        <v>43642</v>
      </c>
      <c r="C78" s="1" t="n">
        <v>45186</v>
      </c>
      <c r="D78" t="inlineStr">
        <is>
          <t>DALARNAS LÄN</t>
        </is>
      </c>
      <c r="E78" t="inlineStr">
        <is>
          <t>GAGNEF</t>
        </is>
      </c>
      <c r="G78" t="n">
        <v>1.1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s="2" t="inlineStr"/>
    </row>
    <row r="79" ht="15" customHeight="1">
      <c r="A79" t="inlineStr">
        <is>
          <t>A 32326-2019</t>
        </is>
      </c>
      <c r="B79" s="1" t="n">
        <v>43644</v>
      </c>
      <c r="C79" s="1" t="n">
        <v>45186</v>
      </c>
      <c r="D79" t="inlineStr">
        <is>
          <t>DALARNAS LÄN</t>
        </is>
      </c>
      <c r="E79" t="inlineStr">
        <is>
          <t>GAGNEF</t>
        </is>
      </c>
      <c r="G79" t="n">
        <v>1.7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s="2" t="inlineStr"/>
    </row>
    <row r="80" ht="15" customHeight="1">
      <c r="A80" t="inlineStr">
        <is>
          <t>A 32463-2019</t>
        </is>
      </c>
      <c r="B80" s="1" t="n">
        <v>43644</v>
      </c>
      <c r="C80" s="1" t="n">
        <v>45186</v>
      </c>
      <c r="D80" t="inlineStr">
        <is>
          <t>DALARNAS LÄN</t>
        </is>
      </c>
      <c r="E80" t="inlineStr">
        <is>
          <t>GAGNEF</t>
        </is>
      </c>
      <c r="F80" t="inlineStr">
        <is>
          <t>Bergvik skog väst AB</t>
        </is>
      </c>
      <c r="G80" t="n">
        <v>1.1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s="2" t="inlineStr"/>
    </row>
    <row r="81" ht="15" customHeight="1">
      <c r="A81" t="inlineStr">
        <is>
          <t>A 32922-2019</t>
        </is>
      </c>
      <c r="B81" s="1" t="n">
        <v>43648</v>
      </c>
      <c r="C81" s="1" t="n">
        <v>45186</v>
      </c>
      <c r="D81" t="inlineStr">
        <is>
          <t>DALARNAS LÄN</t>
        </is>
      </c>
      <c r="E81" t="inlineStr">
        <is>
          <t>GAGNEF</t>
        </is>
      </c>
      <c r="F81" t="inlineStr">
        <is>
          <t>Bergvik skog väst AB</t>
        </is>
      </c>
      <c r="G81" t="n">
        <v>3.3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s="2" t="inlineStr"/>
    </row>
    <row r="82" ht="15" customHeight="1">
      <c r="A82" t="inlineStr">
        <is>
          <t>A 33229-2019</t>
        </is>
      </c>
      <c r="B82" s="1" t="n">
        <v>43650</v>
      </c>
      <c r="C82" s="1" t="n">
        <v>45186</v>
      </c>
      <c r="D82" t="inlineStr">
        <is>
          <t>DALARNAS LÄN</t>
        </is>
      </c>
      <c r="E82" t="inlineStr">
        <is>
          <t>GAGNEF</t>
        </is>
      </c>
      <c r="G82" t="n">
        <v>4.8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s="2" t="inlineStr"/>
    </row>
    <row r="83" ht="15" customHeight="1">
      <c r="A83" t="inlineStr">
        <is>
          <t>A 33227-2019</t>
        </is>
      </c>
      <c r="B83" s="1" t="n">
        <v>43650</v>
      </c>
      <c r="C83" s="1" t="n">
        <v>45186</v>
      </c>
      <c r="D83" t="inlineStr">
        <is>
          <t>DALARNAS LÄN</t>
        </is>
      </c>
      <c r="E83" t="inlineStr">
        <is>
          <t>GAGNEF</t>
        </is>
      </c>
      <c r="G83" t="n">
        <v>3.3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s="2" t="inlineStr"/>
    </row>
    <row r="84" ht="15" customHeight="1">
      <c r="A84" t="inlineStr">
        <is>
          <t>A 34161-2019</t>
        </is>
      </c>
      <c r="B84" s="1" t="n">
        <v>43655</v>
      </c>
      <c r="C84" s="1" t="n">
        <v>45186</v>
      </c>
      <c r="D84" t="inlineStr">
        <is>
          <t>DALARNAS LÄN</t>
        </is>
      </c>
      <c r="E84" t="inlineStr">
        <is>
          <t>GAGNEF</t>
        </is>
      </c>
      <c r="G84" t="n">
        <v>2.2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s="2" t="inlineStr"/>
    </row>
    <row r="85" ht="15" customHeight="1">
      <c r="A85" t="inlineStr">
        <is>
          <t>A 34404-2019</t>
        </is>
      </c>
      <c r="B85" s="1" t="n">
        <v>43656</v>
      </c>
      <c r="C85" s="1" t="n">
        <v>45186</v>
      </c>
      <c r="D85" t="inlineStr">
        <is>
          <t>DALARNAS LÄN</t>
        </is>
      </c>
      <c r="E85" t="inlineStr">
        <is>
          <t>GAGNEF</t>
        </is>
      </c>
      <c r="F85" t="inlineStr">
        <is>
          <t>Bergvik skog väst AB</t>
        </is>
      </c>
      <c r="G85" t="n">
        <v>2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s="2" t="inlineStr"/>
    </row>
    <row r="86" ht="15" customHeight="1">
      <c r="A86" t="inlineStr">
        <is>
          <t>A 36798-2019</t>
        </is>
      </c>
      <c r="B86" s="1" t="n">
        <v>43672</v>
      </c>
      <c r="C86" s="1" t="n">
        <v>45186</v>
      </c>
      <c r="D86" t="inlineStr">
        <is>
          <t>DALARNAS LÄN</t>
        </is>
      </c>
      <c r="E86" t="inlineStr">
        <is>
          <t>GAGNEF</t>
        </is>
      </c>
      <c r="G86" t="n">
        <v>1.3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s="2" t="inlineStr"/>
    </row>
    <row r="87" ht="15" customHeight="1">
      <c r="A87" t="inlineStr">
        <is>
          <t>A 36797-2019</t>
        </is>
      </c>
      <c r="B87" s="1" t="n">
        <v>43672</v>
      </c>
      <c r="C87" s="1" t="n">
        <v>45186</v>
      </c>
      <c r="D87" t="inlineStr">
        <is>
          <t>DALARNAS LÄN</t>
        </is>
      </c>
      <c r="E87" t="inlineStr">
        <is>
          <t>GAGNEF</t>
        </is>
      </c>
      <c r="G87" t="n">
        <v>2.2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s="2" t="inlineStr"/>
    </row>
    <row r="88" ht="15" customHeight="1">
      <c r="A88" t="inlineStr">
        <is>
          <t>A 36933-2019</t>
        </is>
      </c>
      <c r="B88" s="1" t="n">
        <v>43675</v>
      </c>
      <c r="C88" s="1" t="n">
        <v>45186</v>
      </c>
      <c r="D88" t="inlineStr">
        <is>
          <t>DALARNAS LÄN</t>
        </is>
      </c>
      <c r="E88" t="inlineStr">
        <is>
          <t>GAGNEF</t>
        </is>
      </c>
      <c r="F88" t="inlineStr">
        <is>
          <t>Bergvik skog väst AB</t>
        </is>
      </c>
      <c r="G88" t="n">
        <v>0.4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s="2" t="inlineStr"/>
    </row>
    <row r="89" ht="15" customHeight="1">
      <c r="A89" t="inlineStr">
        <is>
          <t>A 38282-2019</t>
        </is>
      </c>
      <c r="B89" s="1" t="n">
        <v>43684</v>
      </c>
      <c r="C89" s="1" t="n">
        <v>45186</v>
      </c>
      <c r="D89" t="inlineStr">
        <is>
          <t>DALARNAS LÄN</t>
        </is>
      </c>
      <c r="E89" t="inlineStr">
        <is>
          <t>GAGNEF</t>
        </is>
      </c>
      <c r="G89" t="n">
        <v>0.8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s="2" t="inlineStr"/>
    </row>
    <row r="90" ht="15" customHeight="1">
      <c r="A90" t="inlineStr">
        <is>
          <t>A 38370-2019</t>
        </is>
      </c>
      <c r="B90" s="1" t="n">
        <v>43685</v>
      </c>
      <c r="C90" s="1" t="n">
        <v>45186</v>
      </c>
      <c r="D90" t="inlineStr">
        <is>
          <t>DALARNAS LÄN</t>
        </is>
      </c>
      <c r="E90" t="inlineStr">
        <is>
          <t>GAGNEF</t>
        </is>
      </c>
      <c r="G90" t="n">
        <v>5.7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s="2" t="inlineStr"/>
    </row>
    <row r="91" ht="15" customHeight="1">
      <c r="A91" t="inlineStr">
        <is>
          <t>A 40035-2019</t>
        </is>
      </c>
      <c r="B91" s="1" t="n">
        <v>43693</v>
      </c>
      <c r="C91" s="1" t="n">
        <v>45186</v>
      </c>
      <c r="D91" t="inlineStr">
        <is>
          <t>DALARNAS LÄN</t>
        </is>
      </c>
      <c r="E91" t="inlineStr">
        <is>
          <t>GAGNEF</t>
        </is>
      </c>
      <c r="G91" t="n">
        <v>1.2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s="2" t="inlineStr"/>
    </row>
    <row r="92" ht="15" customHeight="1">
      <c r="A92" t="inlineStr">
        <is>
          <t>A 41853-2019</t>
        </is>
      </c>
      <c r="B92" s="1" t="n">
        <v>43700</v>
      </c>
      <c r="C92" s="1" t="n">
        <v>45186</v>
      </c>
      <c r="D92" t="inlineStr">
        <is>
          <t>DALARNAS LÄN</t>
        </is>
      </c>
      <c r="E92" t="inlineStr">
        <is>
          <t>GAGNEF</t>
        </is>
      </c>
      <c r="G92" t="n">
        <v>1.6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s="2" t="inlineStr"/>
    </row>
    <row r="93" ht="15" customHeight="1">
      <c r="A93" t="inlineStr">
        <is>
          <t>A 44384-2019</t>
        </is>
      </c>
      <c r="B93" s="1" t="n">
        <v>43705</v>
      </c>
      <c r="C93" s="1" t="n">
        <v>45186</v>
      </c>
      <c r="D93" t="inlineStr">
        <is>
          <t>DALARNAS LÄN</t>
        </is>
      </c>
      <c r="E93" t="inlineStr">
        <is>
          <t>GAGNEF</t>
        </is>
      </c>
      <c r="G93" t="n">
        <v>1.5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s="2" t="inlineStr"/>
    </row>
    <row r="94" ht="15" customHeight="1">
      <c r="A94" t="inlineStr">
        <is>
          <t>A 46167-2019</t>
        </is>
      </c>
      <c r="B94" s="1" t="n">
        <v>43712</v>
      </c>
      <c r="C94" s="1" t="n">
        <v>45186</v>
      </c>
      <c r="D94" t="inlineStr">
        <is>
          <t>DALARNAS LÄN</t>
        </is>
      </c>
      <c r="E94" t="inlineStr">
        <is>
          <t>GAGNEF</t>
        </is>
      </c>
      <c r="G94" t="n">
        <v>1.1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s="2" t="inlineStr"/>
    </row>
    <row r="95" ht="15" customHeight="1">
      <c r="A95" t="inlineStr">
        <is>
          <t>A 47273-2019</t>
        </is>
      </c>
      <c r="B95" s="1" t="n">
        <v>43721</v>
      </c>
      <c r="C95" s="1" t="n">
        <v>45186</v>
      </c>
      <c r="D95" t="inlineStr">
        <is>
          <t>DALARNAS LÄN</t>
        </is>
      </c>
      <c r="E95" t="inlineStr">
        <is>
          <t>GAGNEF</t>
        </is>
      </c>
      <c r="G95" t="n">
        <v>1.3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s="2" t="inlineStr"/>
    </row>
    <row r="96" ht="15" customHeight="1">
      <c r="A96" t="inlineStr">
        <is>
          <t>A 51872-2019</t>
        </is>
      </c>
      <c r="B96" s="1" t="n">
        <v>43741</v>
      </c>
      <c r="C96" s="1" t="n">
        <v>45186</v>
      </c>
      <c r="D96" t="inlineStr">
        <is>
          <t>DALARNAS LÄN</t>
        </is>
      </c>
      <c r="E96" t="inlineStr">
        <is>
          <t>GAGNEF</t>
        </is>
      </c>
      <c r="F96" t="inlineStr">
        <is>
          <t>Bergvik skog väst AB</t>
        </is>
      </c>
      <c r="G96" t="n">
        <v>4.6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s="2" t="inlineStr"/>
    </row>
    <row r="97" ht="15" customHeight="1">
      <c r="A97" t="inlineStr">
        <is>
          <t>A 52163-2019</t>
        </is>
      </c>
      <c r="B97" s="1" t="n">
        <v>43742</v>
      </c>
      <c r="C97" s="1" t="n">
        <v>45186</v>
      </c>
      <c r="D97" t="inlineStr">
        <is>
          <t>DALARNAS LÄN</t>
        </is>
      </c>
      <c r="E97" t="inlineStr">
        <is>
          <t>GAGNEF</t>
        </is>
      </c>
      <c r="G97" t="n">
        <v>5.2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s="2" t="inlineStr"/>
    </row>
    <row r="98" ht="15" customHeight="1">
      <c r="A98" t="inlineStr">
        <is>
          <t>A 52298-2019</t>
        </is>
      </c>
      <c r="B98" s="1" t="n">
        <v>43745</v>
      </c>
      <c r="C98" s="1" t="n">
        <v>45186</v>
      </c>
      <c r="D98" t="inlineStr">
        <is>
          <t>DALARNAS LÄN</t>
        </is>
      </c>
      <c r="E98" t="inlineStr">
        <is>
          <t>GAGNEF</t>
        </is>
      </c>
      <c r="G98" t="n">
        <v>1.1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s="2" t="inlineStr"/>
    </row>
    <row r="99" ht="15" customHeight="1">
      <c r="A99" t="inlineStr">
        <is>
          <t>A 52746-2019</t>
        </is>
      </c>
      <c r="B99" s="1" t="n">
        <v>43746</v>
      </c>
      <c r="C99" s="1" t="n">
        <v>45186</v>
      </c>
      <c r="D99" t="inlineStr">
        <is>
          <t>DALARNAS LÄN</t>
        </is>
      </c>
      <c r="E99" t="inlineStr">
        <is>
          <t>GAGNEF</t>
        </is>
      </c>
      <c r="G99" t="n">
        <v>0.6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s="2" t="inlineStr"/>
    </row>
    <row r="100" ht="15" customHeight="1">
      <c r="A100" t="inlineStr">
        <is>
          <t>A 55213-2019</t>
        </is>
      </c>
      <c r="B100" s="1" t="n">
        <v>43756</v>
      </c>
      <c r="C100" s="1" t="n">
        <v>45186</v>
      </c>
      <c r="D100" t="inlineStr">
        <is>
          <t>DALARNAS LÄN</t>
        </is>
      </c>
      <c r="E100" t="inlineStr">
        <is>
          <t>GAGNEF</t>
        </is>
      </c>
      <c r="G100" t="n">
        <v>0.6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s="2" t="inlineStr"/>
    </row>
    <row r="101" ht="15" customHeight="1">
      <c r="A101" t="inlineStr">
        <is>
          <t>A 56264-2019</t>
        </is>
      </c>
      <c r="B101" s="1" t="n">
        <v>43762</v>
      </c>
      <c r="C101" s="1" t="n">
        <v>45186</v>
      </c>
      <c r="D101" t="inlineStr">
        <is>
          <t>DALARNAS LÄN</t>
        </is>
      </c>
      <c r="E101" t="inlineStr">
        <is>
          <t>GAGNEF</t>
        </is>
      </c>
      <c r="G101" t="n">
        <v>3.4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s="2" t="inlineStr"/>
    </row>
    <row r="102" ht="15" customHeight="1">
      <c r="A102" t="inlineStr">
        <is>
          <t>A 56714-2019</t>
        </is>
      </c>
      <c r="B102" s="1" t="n">
        <v>43763</v>
      </c>
      <c r="C102" s="1" t="n">
        <v>45186</v>
      </c>
      <c r="D102" t="inlineStr">
        <is>
          <t>DALARNAS LÄN</t>
        </is>
      </c>
      <c r="E102" t="inlineStr">
        <is>
          <t>GAGNEF</t>
        </is>
      </c>
      <c r="G102" t="n">
        <v>0.6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s="2" t="inlineStr"/>
    </row>
    <row r="103" ht="15" customHeight="1">
      <c r="A103" t="inlineStr">
        <is>
          <t>A 57728-2019</t>
        </is>
      </c>
      <c r="B103" s="1" t="n">
        <v>43768</v>
      </c>
      <c r="C103" s="1" t="n">
        <v>45186</v>
      </c>
      <c r="D103" t="inlineStr">
        <is>
          <t>DALARNAS LÄN</t>
        </is>
      </c>
      <c r="E103" t="inlineStr">
        <is>
          <t>GAGNEF</t>
        </is>
      </c>
      <c r="G103" t="n">
        <v>3.4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s="2" t="inlineStr"/>
    </row>
    <row r="104" ht="15" customHeight="1">
      <c r="A104" t="inlineStr">
        <is>
          <t>A 58336-2019</t>
        </is>
      </c>
      <c r="B104" s="1" t="n">
        <v>43770</v>
      </c>
      <c r="C104" s="1" t="n">
        <v>45186</v>
      </c>
      <c r="D104" t="inlineStr">
        <is>
          <t>DALARNAS LÄN</t>
        </is>
      </c>
      <c r="E104" t="inlineStr">
        <is>
          <t>GAGNEF</t>
        </is>
      </c>
      <c r="G104" t="n">
        <v>9.9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s="2" t="inlineStr"/>
    </row>
    <row r="105" ht="15" customHeight="1">
      <c r="A105" t="inlineStr">
        <is>
          <t>A 60629-2019</t>
        </is>
      </c>
      <c r="B105" s="1" t="n">
        <v>43781</v>
      </c>
      <c r="C105" s="1" t="n">
        <v>45186</v>
      </c>
      <c r="D105" t="inlineStr">
        <is>
          <t>DALARNAS LÄN</t>
        </is>
      </c>
      <c r="E105" t="inlineStr">
        <is>
          <t>GAGNEF</t>
        </is>
      </c>
      <c r="G105" t="n">
        <v>1.2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s="2" t="inlineStr"/>
    </row>
    <row r="106" ht="15" customHeight="1">
      <c r="A106" t="inlineStr">
        <is>
          <t>A 62307-2019</t>
        </is>
      </c>
      <c r="B106" s="1" t="n">
        <v>43788</v>
      </c>
      <c r="C106" s="1" t="n">
        <v>45186</v>
      </c>
      <c r="D106" t="inlineStr">
        <is>
          <t>DALARNAS LÄN</t>
        </is>
      </c>
      <c r="E106" t="inlineStr">
        <is>
          <t>GAGNEF</t>
        </is>
      </c>
      <c r="F106" t="inlineStr">
        <is>
          <t>Bergvik skog väst AB</t>
        </is>
      </c>
      <c r="G106" t="n">
        <v>1.8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s="2" t="inlineStr"/>
    </row>
    <row r="107" ht="15" customHeight="1">
      <c r="A107" t="inlineStr">
        <is>
          <t>A 65118-2019</t>
        </is>
      </c>
      <c r="B107" s="1" t="n">
        <v>43802</v>
      </c>
      <c r="C107" s="1" t="n">
        <v>45186</v>
      </c>
      <c r="D107" t="inlineStr">
        <is>
          <t>DALARNAS LÄN</t>
        </is>
      </c>
      <c r="E107" t="inlineStr">
        <is>
          <t>GAGNEF</t>
        </is>
      </c>
      <c r="G107" t="n">
        <v>1.6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s="2" t="inlineStr"/>
    </row>
    <row r="108" ht="15" customHeight="1">
      <c r="A108" t="inlineStr">
        <is>
          <t>A 66716-2019</t>
        </is>
      </c>
      <c r="B108" s="1" t="n">
        <v>43809</v>
      </c>
      <c r="C108" s="1" t="n">
        <v>45186</v>
      </c>
      <c r="D108" t="inlineStr">
        <is>
          <t>DALARNAS LÄN</t>
        </is>
      </c>
      <c r="E108" t="inlineStr">
        <is>
          <t>GAGNEF</t>
        </is>
      </c>
      <c r="G108" t="n">
        <v>5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s="2" t="inlineStr"/>
    </row>
    <row r="109" ht="15" customHeight="1">
      <c r="A109" t="inlineStr">
        <is>
          <t>A 67948-2019</t>
        </is>
      </c>
      <c r="B109" s="1" t="n">
        <v>43811</v>
      </c>
      <c r="C109" s="1" t="n">
        <v>45186</v>
      </c>
      <c r="D109" t="inlineStr">
        <is>
          <t>DALARNAS LÄN</t>
        </is>
      </c>
      <c r="E109" t="inlineStr">
        <is>
          <t>GAGNEF</t>
        </is>
      </c>
      <c r="G109" t="n">
        <v>1.6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s="2" t="inlineStr"/>
    </row>
    <row r="110" ht="15" customHeight="1">
      <c r="A110" t="inlineStr">
        <is>
          <t>A 67999-2019</t>
        </is>
      </c>
      <c r="B110" s="1" t="n">
        <v>43816</v>
      </c>
      <c r="C110" s="1" t="n">
        <v>45186</v>
      </c>
      <c r="D110" t="inlineStr">
        <is>
          <t>DALARNAS LÄN</t>
        </is>
      </c>
      <c r="E110" t="inlineStr">
        <is>
          <t>GAGNEF</t>
        </is>
      </c>
      <c r="G110" t="n">
        <v>5.9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s="2" t="inlineStr"/>
    </row>
    <row r="111" ht="15" customHeight="1">
      <c r="A111" t="inlineStr">
        <is>
          <t>A 68547-2019</t>
        </is>
      </c>
      <c r="B111" s="1" t="n">
        <v>43818</v>
      </c>
      <c r="C111" s="1" t="n">
        <v>45186</v>
      </c>
      <c r="D111" t="inlineStr">
        <is>
          <t>DALARNAS LÄN</t>
        </is>
      </c>
      <c r="E111" t="inlineStr">
        <is>
          <t>GAGNEF</t>
        </is>
      </c>
      <c r="G111" t="n">
        <v>0.8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s="2" t="inlineStr"/>
    </row>
    <row r="112" ht="15" customHeight="1">
      <c r="A112" t="inlineStr">
        <is>
          <t>A 165-2020</t>
        </is>
      </c>
      <c r="B112" s="1" t="n">
        <v>43833</v>
      </c>
      <c r="C112" s="1" t="n">
        <v>45186</v>
      </c>
      <c r="D112" t="inlineStr">
        <is>
          <t>DALARNAS LÄN</t>
        </is>
      </c>
      <c r="E112" t="inlineStr">
        <is>
          <t>GAGNEF</t>
        </is>
      </c>
      <c r="F112" t="inlineStr">
        <is>
          <t>Kommuner</t>
        </is>
      </c>
      <c r="G112" t="n">
        <v>8.9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s="2" t="inlineStr"/>
    </row>
    <row r="113" ht="15" customHeight="1">
      <c r="A113" t="inlineStr">
        <is>
          <t>A 1993-2020</t>
        </is>
      </c>
      <c r="B113" s="1" t="n">
        <v>43845</v>
      </c>
      <c r="C113" s="1" t="n">
        <v>45186</v>
      </c>
      <c r="D113" t="inlineStr">
        <is>
          <t>DALARNAS LÄN</t>
        </is>
      </c>
      <c r="E113" t="inlineStr">
        <is>
          <t>GAGNEF</t>
        </is>
      </c>
      <c r="G113" t="n">
        <v>0.7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s="2" t="inlineStr"/>
    </row>
    <row r="114" ht="15" customHeight="1">
      <c r="A114" t="inlineStr">
        <is>
          <t>A 3436-2020</t>
        </is>
      </c>
      <c r="B114" s="1" t="n">
        <v>43845</v>
      </c>
      <c r="C114" s="1" t="n">
        <v>45186</v>
      </c>
      <c r="D114" t="inlineStr">
        <is>
          <t>DALARNAS LÄN</t>
        </is>
      </c>
      <c r="E114" t="inlineStr">
        <is>
          <t>GAGNEF</t>
        </is>
      </c>
      <c r="G114" t="n">
        <v>0.7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s="2" t="inlineStr"/>
    </row>
    <row r="115" ht="15" customHeight="1">
      <c r="A115" t="inlineStr">
        <is>
          <t>A 2904-2020</t>
        </is>
      </c>
      <c r="B115" s="1" t="n">
        <v>43850</v>
      </c>
      <c r="C115" s="1" t="n">
        <v>45186</v>
      </c>
      <c r="D115" t="inlineStr">
        <is>
          <t>DALARNAS LÄN</t>
        </is>
      </c>
      <c r="E115" t="inlineStr">
        <is>
          <t>GAGNEF</t>
        </is>
      </c>
      <c r="G115" t="n">
        <v>4.2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s="2" t="inlineStr"/>
    </row>
    <row r="116" ht="15" customHeight="1">
      <c r="A116" t="inlineStr">
        <is>
          <t>A 5690-2020</t>
        </is>
      </c>
      <c r="B116" s="1" t="n">
        <v>43861</v>
      </c>
      <c r="C116" s="1" t="n">
        <v>45186</v>
      </c>
      <c r="D116" t="inlineStr">
        <is>
          <t>DALARNAS LÄN</t>
        </is>
      </c>
      <c r="E116" t="inlineStr">
        <is>
          <t>GAGNEF</t>
        </is>
      </c>
      <c r="G116" t="n">
        <v>1.4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s="2" t="inlineStr"/>
    </row>
    <row r="117" ht="15" customHeight="1">
      <c r="A117" t="inlineStr">
        <is>
          <t>A 6451-2020</t>
        </is>
      </c>
      <c r="B117" s="1" t="n">
        <v>43866</v>
      </c>
      <c r="C117" s="1" t="n">
        <v>45186</v>
      </c>
      <c r="D117" t="inlineStr">
        <is>
          <t>DALARNAS LÄN</t>
        </is>
      </c>
      <c r="E117" t="inlineStr">
        <is>
          <t>GAGNEF</t>
        </is>
      </c>
      <c r="G117" t="n">
        <v>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s="2" t="inlineStr"/>
    </row>
    <row r="118" ht="15" customHeight="1">
      <c r="A118" t="inlineStr">
        <is>
          <t>A 16736-2020</t>
        </is>
      </c>
      <c r="B118" s="1" t="n">
        <v>43920</v>
      </c>
      <c r="C118" s="1" t="n">
        <v>45186</v>
      </c>
      <c r="D118" t="inlineStr">
        <is>
          <t>DALARNAS LÄN</t>
        </is>
      </c>
      <c r="E118" t="inlineStr">
        <is>
          <t>GAGNEF</t>
        </is>
      </c>
      <c r="G118" t="n">
        <v>2.8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s="2" t="inlineStr"/>
    </row>
    <row r="119" ht="15" customHeight="1">
      <c r="A119" t="inlineStr">
        <is>
          <t>A 16995-2020</t>
        </is>
      </c>
      <c r="B119" s="1" t="n">
        <v>43921</v>
      </c>
      <c r="C119" s="1" t="n">
        <v>45186</v>
      </c>
      <c r="D119" t="inlineStr">
        <is>
          <t>DALARNAS LÄN</t>
        </is>
      </c>
      <c r="E119" t="inlineStr">
        <is>
          <t>GAGNEF</t>
        </is>
      </c>
      <c r="G119" t="n">
        <v>0.8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s="2" t="inlineStr"/>
    </row>
    <row r="120" ht="15" customHeight="1">
      <c r="A120" t="inlineStr">
        <is>
          <t>A 18496-2020</t>
        </is>
      </c>
      <c r="B120" s="1" t="n">
        <v>43929</v>
      </c>
      <c r="C120" s="1" t="n">
        <v>45186</v>
      </c>
      <c r="D120" t="inlineStr">
        <is>
          <t>DALARNAS LÄN</t>
        </is>
      </c>
      <c r="E120" t="inlineStr">
        <is>
          <t>GAGNEF</t>
        </is>
      </c>
      <c r="G120" t="n">
        <v>7.3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s="2" t="inlineStr"/>
    </row>
    <row r="121" ht="15" customHeight="1">
      <c r="A121" t="inlineStr">
        <is>
          <t>A 18622-2020</t>
        </is>
      </c>
      <c r="B121" s="1" t="n">
        <v>43930</v>
      </c>
      <c r="C121" s="1" t="n">
        <v>45186</v>
      </c>
      <c r="D121" t="inlineStr">
        <is>
          <t>DALARNAS LÄN</t>
        </is>
      </c>
      <c r="E121" t="inlineStr">
        <is>
          <t>GAGNEF</t>
        </is>
      </c>
      <c r="G121" t="n">
        <v>11.3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s="2" t="inlineStr"/>
    </row>
    <row r="122" ht="15" customHeight="1">
      <c r="A122" t="inlineStr">
        <is>
          <t>A 21319-2020</t>
        </is>
      </c>
      <c r="B122" s="1" t="n">
        <v>43955</v>
      </c>
      <c r="C122" s="1" t="n">
        <v>45186</v>
      </c>
      <c r="D122" t="inlineStr">
        <is>
          <t>DALARNAS LÄN</t>
        </is>
      </c>
      <c r="E122" t="inlineStr">
        <is>
          <t>GAGNEF</t>
        </is>
      </c>
      <c r="G122" t="n">
        <v>3.1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s="2" t="inlineStr"/>
    </row>
    <row r="123" ht="15" customHeight="1">
      <c r="A123" t="inlineStr">
        <is>
          <t>A 23390-2020</t>
        </is>
      </c>
      <c r="B123" s="1" t="n">
        <v>43968</v>
      </c>
      <c r="C123" s="1" t="n">
        <v>45186</v>
      </c>
      <c r="D123" t="inlineStr">
        <is>
          <t>DALARNAS LÄN</t>
        </is>
      </c>
      <c r="E123" t="inlineStr">
        <is>
          <t>GAGNEF</t>
        </is>
      </c>
      <c r="G123" t="n">
        <v>0.6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s="2" t="inlineStr"/>
    </row>
    <row r="124" ht="15" customHeight="1">
      <c r="A124" t="inlineStr">
        <is>
          <t>A 25312-2020</t>
        </is>
      </c>
      <c r="B124" s="1" t="n">
        <v>43980</v>
      </c>
      <c r="C124" s="1" t="n">
        <v>45186</v>
      </c>
      <c r="D124" t="inlineStr">
        <is>
          <t>DALARNAS LÄN</t>
        </is>
      </c>
      <c r="E124" t="inlineStr">
        <is>
          <t>GAGNEF</t>
        </is>
      </c>
      <c r="G124" t="n">
        <v>11.5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s="2" t="inlineStr"/>
    </row>
    <row r="125" ht="15" customHeight="1">
      <c r="A125" t="inlineStr">
        <is>
          <t>A 26658-2020</t>
        </is>
      </c>
      <c r="B125" s="1" t="n">
        <v>43989</v>
      </c>
      <c r="C125" s="1" t="n">
        <v>45186</v>
      </c>
      <c r="D125" t="inlineStr">
        <is>
          <t>DALARNAS LÄN</t>
        </is>
      </c>
      <c r="E125" t="inlineStr">
        <is>
          <t>GAGNEF</t>
        </is>
      </c>
      <c r="F125" t="inlineStr">
        <is>
          <t>Bergvik skog väst AB</t>
        </is>
      </c>
      <c r="G125" t="n">
        <v>1.2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s="2" t="inlineStr"/>
    </row>
    <row r="126" ht="15" customHeight="1">
      <c r="A126" t="inlineStr">
        <is>
          <t>A 28810-2020</t>
        </is>
      </c>
      <c r="B126" s="1" t="n">
        <v>44000</v>
      </c>
      <c r="C126" s="1" t="n">
        <v>45186</v>
      </c>
      <c r="D126" t="inlineStr">
        <is>
          <t>DALARNAS LÄN</t>
        </is>
      </c>
      <c r="E126" t="inlineStr">
        <is>
          <t>GAGNEF</t>
        </is>
      </c>
      <c r="F126" t="inlineStr">
        <is>
          <t>Bergvik skog väst AB</t>
        </is>
      </c>
      <c r="G126" t="n">
        <v>1.9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s="2" t="inlineStr"/>
    </row>
    <row r="127" ht="15" customHeight="1">
      <c r="A127" t="inlineStr">
        <is>
          <t>A 31601-2020</t>
        </is>
      </c>
      <c r="B127" s="1" t="n">
        <v>44013</v>
      </c>
      <c r="C127" s="1" t="n">
        <v>45186</v>
      </c>
      <c r="D127" t="inlineStr">
        <is>
          <t>DALARNAS LÄN</t>
        </is>
      </c>
      <c r="E127" t="inlineStr">
        <is>
          <t>GAGNEF</t>
        </is>
      </c>
      <c r="F127" t="inlineStr">
        <is>
          <t>Bergvik skog väst AB</t>
        </is>
      </c>
      <c r="G127" t="n">
        <v>2.2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s="2" t="inlineStr"/>
    </row>
    <row r="128" ht="15" customHeight="1">
      <c r="A128" t="inlineStr">
        <is>
          <t>A 31945-2020</t>
        </is>
      </c>
      <c r="B128" s="1" t="n">
        <v>44014</v>
      </c>
      <c r="C128" s="1" t="n">
        <v>45186</v>
      </c>
      <c r="D128" t="inlineStr">
        <is>
          <t>DALARNAS LÄN</t>
        </is>
      </c>
      <c r="E128" t="inlineStr">
        <is>
          <t>GAGNEF</t>
        </is>
      </c>
      <c r="F128" t="inlineStr">
        <is>
          <t>Bergvik skog väst AB</t>
        </is>
      </c>
      <c r="G128" t="n">
        <v>0.7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s="2" t="inlineStr"/>
    </row>
    <row r="129" ht="15" customHeight="1">
      <c r="A129" t="inlineStr">
        <is>
          <t>A 31943-2020</t>
        </is>
      </c>
      <c r="B129" s="1" t="n">
        <v>44014</v>
      </c>
      <c r="C129" s="1" t="n">
        <v>45186</v>
      </c>
      <c r="D129" t="inlineStr">
        <is>
          <t>DALARNAS LÄN</t>
        </is>
      </c>
      <c r="E129" t="inlineStr">
        <is>
          <t>GAGNEF</t>
        </is>
      </c>
      <c r="F129" t="inlineStr">
        <is>
          <t>Bergvik skog väst AB</t>
        </is>
      </c>
      <c r="G129" t="n">
        <v>0.6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s="2" t="inlineStr"/>
    </row>
    <row r="130" ht="15" customHeight="1">
      <c r="A130" t="inlineStr">
        <is>
          <t>A 32073-2020</t>
        </is>
      </c>
      <c r="B130" s="1" t="n">
        <v>44015</v>
      </c>
      <c r="C130" s="1" t="n">
        <v>45186</v>
      </c>
      <c r="D130" t="inlineStr">
        <is>
          <t>DALARNAS LÄN</t>
        </is>
      </c>
      <c r="E130" t="inlineStr">
        <is>
          <t>GAGNEF</t>
        </is>
      </c>
      <c r="G130" t="n">
        <v>0.5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s="2" t="inlineStr"/>
    </row>
    <row r="131" ht="15" customHeight="1">
      <c r="A131" t="inlineStr">
        <is>
          <t>A 35440-2020</t>
        </is>
      </c>
      <c r="B131" s="1" t="n">
        <v>44042</v>
      </c>
      <c r="C131" s="1" t="n">
        <v>45186</v>
      </c>
      <c r="D131" t="inlineStr">
        <is>
          <t>DALARNAS LÄN</t>
        </is>
      </c>
      <c r="E131" t="inlineStr">
        <is>
          <t>GAGNEF</t>
        </is>
      </c>
      <c r="F131" t="inlineStr">
        <is>
          <t>Bergvik skog väst AB</t>
        </is>
      </c>
      <c r="G131" t="n">
        <v>0.5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s="2" t="inlineStr"/>
    </row>
    <row r="132" ht="15" customHeight="1">
      <c r="A132" t="inlineStr">
        <is>
          <t>A 36910-2020</t>
        </is>
      </c>
      <c r="B132" s="1" t="n">
        <v>44053</v>
      </c>
      <c r="C132" s="1" t="n">
        <v>45186</v>
      </c>
      <c r="D132" t="inlineStr">
        <is>
          <t>DALARNAS LÄN</t>
        </is>
      </c>
      <c r="E132" t="inlineStr">
        <is>
          <t>GAGNEF</t>
        </is>
      </c>
      <c r="F132" t="inlineStr">
        <is>
          <t>Bergvik skog väst AB</t>
        </is>
      </c>
      <c r="G132" t="n">
        <v>1.2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s="2" t="inlineStr"/>
    </row>
    <row r="133" ht="15" customHeight="1">
      <c r="A133" t="inlineStr">
        <is>
          <t>A 42433-2020</t>
        </is>
      </c>
      <c r="B133" s="1" t="n">
        <v>44076</v>
      </c>
      <c r="C133" s="1" t="n">
        <v>45186</v>
      </c>
      <c r="D133" t="inlineStr">
        <is>
          <t>DALARNAS LÄN</t>
        </is>
      </c>
      <c r="E133" t="inlineStr">
        <is>
          <t>GAGNEF</t>
        </is>
      </c>
      <c r="G133" t="n">
        <v>1.9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s="2" t="inlineStr"/>
    </row>
    <row r="134" ht="15" customHeight="1">
      <c r="A134" t="inlineStr">
        <is>
          <t>A 42575-2020</t>
        </is>
      </c>
      <c r="B134" s="1" t="n">
        <v>44077</v>
      </c>
      <c r="C134" s="1" t="n">
        <v>45186</v>
      </c>
      <c r="D134" t="inlineStr">
        <is>
          <t>DALARNAS LÄN</t>
        </is>
      </c>
      <c r="E134" t="inlineStr">
        <is>
          <t>GAGNEF</t>
        </is>
      </c>
      <c r="G134" t="n">
        <v>2.1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s="2" t="inlineStr"/>
    </row>
    <row r="135" ht="15" customHeight="1">
      <c r="A135" t="inlineStr">
        <is>
          <t>A 42874-2020</t>
        </is>
      </c>
      <c r="B135" s="1" t="n">
        <v>44078</v>
      </c>
      <c r="C135" s="1" t="n">
        <v>45186</v>
      </c>
      <c r="D135" t="inlineStr">
        <is>
          <t>DALARNAS LÄN</t>
        </is>
      </c>
      <c r="E135" t="inlineStr">
        <is>
          <t>GAGNEF</t>
        </is>
      </c>
      <c r="F135" t="inlineStr">
        <is>
          <t>Bergvik skog väst AB</t>
        </is>
      </c>
      <c r="G135" t="n">
        <v>3.4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s="2" t="inlineStr"/>
    </row>
    <row r="136" ht="15" customHeight="1">
      <c r="A136" t="inlineStr">
        <is>
          <t>A 43296-2020</t>
        </is>
      </c>
      <c r="B136" s="1" t="n">
        <v>44081</v>
      </c>
      <c r="C136" s="1" t="n">
        <v>45186</v>
      </c>
      <c r="D136" t="inlineStr">
        <is>
          <t>DALARNAS LÄN</t>
        </is>
      </c>
      <c r="E136" t="inlineStr">
        <is>
          <t>GAGNEF</t>
        </is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s="2" t="inlineStr"/>
    </row>
    <row r="137" ht="15" customHeight="1">
      <c r="A137" t="inlineStr">
        <is>
          <t>A 43301-2020</t>
        </is>
      </c>
      <c r="B137" s="1" t="n">
        <v>44081</v>
      </c>
      <c r="C137" s="1" t="n">
        <v>45186</v>
      </c>
      <c r="D137" t="inlineStr">
        <is>
          <t>DALARNAS LÄN</t>
        </is>
      </c>
      <c r="E137" t="inlineStr">
        <is>
          <t>GAGNEF</t>
        </is>
      </c>
      <c r="F137" t="inlineStr">
        <is>
          <t>Bergvik skog väst AB</t>
        </is>
      </c>
      <c r="G137" t="n">
        <v>0.4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s="2" t="inlineStr"/>
    </row>
    <row r="138" ht="15" customHeight="1">
      <c r="A138" t="inlineStr">
        <is>
          <t>A 44641-2020</t>
        </is>
      </c>
      <c r="B138" s="1" t="n">
        <v>44085</v>
      </c>
      <c r="C138" s="1" t="n">
        <v>45186</v>
      </c>
      <c r="D138" t="inlineStr">
        <is>
          <t>DALARNAS LÄN</t>
        </is>
      </c>
      <c r="E138" t="inlineStr">
        <is>
          <t>GAGNEF</t>
        </is>
      </c>
      <c r="G138" t="n">
        <v>2.4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s="2" t="inlineStr"/>
    </row>
    <row r="139" ht="15" customHeight="1">
      <c r="A139" t="inlineStr">
        <is>
          <t>A 45340-2020</t>
        </is>
      </c>
      <c r="B139" s="1" t="n">
        <v>44089</v>
      </c>
      <c r="C139" s="1" t="n">
        <v>45186</v>
      </c>
      <c r="D139" t="inlineStr">
        <is>
          <t>DALARNAS LÄN</t>
        </is>
      </c>
      <c r="E139" t="inlineStr">
        <is>
          <t>GAGNEF</t>
        </is>
      </c>
      <c r="G139" t="n">
        <v>0.7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s="2" t="inlineStr"/>
    </row>
    <row r="140" ht="15" customHeight="1">
      <c r="A140" t="inlineStr">
        <is>
          <t>A 48504-2020</t>
        </is>
      </c>
      <c r="B140" s="1" t="n">
        <v>44103</v>
      </c>
      <c r="C140" s="1" t="n">
        <v>45186</v>
      </c>
      <c r="D140" t="inlineStr">
        <is>
          <t>DALARNAS LÄN</t>
        </is>
      </c>
      <c r="E140" t="inlineStr">
        <is>
          <t>GAGNEF</t>
        </is>
      </c>
      <c r="G140" t="n">
        <v>1.2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s="2" t="inlineStr"/>
    </row>
    <row r="141" ht="15" customHeight="1">
      <c r="A141" t="inlineStr">
        <is>
          <t>A 50505-2020</t>
        </is>
      </c>
      <c r="B141" s="1" t="n">
        <v>44110</v>
      </c>
      <c r="C141" s="1" t="n">
        <v>45186</v>
      </c>
      <c r="D141" t="inlineStr">
        <is>
          <t>DALARNAS LÄN</t>
        </is>
      </c>
      <c r="E141" t="inlineStr">
        <is>
          <t>GAGNEF</t>
        </is>
      </c>
      <c r="G141" t="n">
        <v>4.7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s="2" t="inlineStr"/>
    </row>
    <row r="142" ht="15" customHeight="1">
      <c r="A142" t="inlineStr">
        <is>
          <t>A 50758-2020</t>
        </is>
      </c>
      <c r="B142" s="1" t="n">
        <v>44111</v>
      </c>
      <c r="C142" s="1" t="n">
        <v>45186</v>
      </c>
      <c r="D142" t="inlineStr">
        <is>
          <t>DALARNAS LÄN</t>
        </is>
      </c>
      <c r="E142" t="inlineStr">
        <is>
          <t>GAGNEF</t>
        </is>
      </c>
      <c r="G142" t="n">
        <v>0.8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s="2" t="inlineStr"/>
    </row>
    <row r="143" ht="15" customHeight="1">
      <c r="A143" t="inlineStr">
        <is>
          <t>A 51474-2020</t>
        </is>
      </c>
      <c r="B143" s="1" t="n">
        <v>44113</v>
      </c>
      <c r="C143" s="1" t="n">
        <v>45186</v>
      </c>
      <c r="D143" t="inlineStr">
        <is>
          <t>DALARNAS LÄN</t>
        </is>
      </c>
      <c r="E143" t="inlineStr">
        <is>
          <t>GAGNEF</t>
        </is>
      </c>
      <c r="G143" t="n">
        <v>1.8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s="2" t="inlineStr"/>
    </row>
    <row r="144" ht="15" customHeight="1">
      <c r="A144" t="inlineStr">
        <is>
          <t>A 55502-2020</t>
        </is>
      </c>
      <c r="B144" s="1" t="n">
        <v>44131</v>
      </c>
      <c r="C144" s="1" t="n">
        <v>45186</v>
      </c>
      <c r="D144" t="inlineStr">
        <is>
          <t>DALARNAS LÄN</t>
        </is>
      </c>
      <c r="E144" t="inlineStr">
        <is>
          <t>GAGNEF</t>
        </is>
      </c>
      <c r="G144" t="n">
        <v>1.3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s="2" t="inlineStr"/>
    </row>
    <row r="145" ht="15" customHeight="1">
      <c r="A145" t="inlineStr">
        <is>
          <t>A 58133-2020</t>
        </is>
      </c>
      <c r="B145" s="1" t="n">
        <v>44144</v>
      </c>
      <c r="C145" s="1" t="n">
        <v>45186</v>
      </c>
      <c r="D145" t="inlineStr">
        <is>
          <t>DALARNAS LÄN</t>
        </is>
      </c>
      <c r="E145" t="inlineStr">
        <is>
          <t>GAGNEF</t>
        </is>
      </c>
      <c r="G145" t="n">
        <v>2.7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s="2" t="inlineStr"/>
    </row>
    <row r="146" ht="15" customHeight="1">
      <c r="A146" t="inlineStr">
        <is>
          <t>A 58424-2020</t>
        </is>
      </c>
      <c r="B146" s="1" t="n">
        <v>44145</v>
      </c>
      <c r="C146" s="1" t="n">
        <v>45186</v>
      </c>
      <c r="D146" t="inlineStr">
        <is>
          <t>DALARNAS LÄN</t>
        </is>
      </c>
      <c r="E146" t="inlineStr">
        <is>
          <t>GAGNEF</t>
        </is>
      </c>
      <c r="G146" t="n">
        <v>19.8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s="2" t="inlineStr"/>
    </row>
    <row r="147" ht="15" customHeight="1">
      <c r="A147" t="inlineStr">
        <is>
          <t>A 61084-2020</t>
        </is>
      </c>
      <c r="B147" s="1" t="n">
        <v>44154</v>
      </c>
      <c r="C147" s="1" t="n">
        <v>45186</v>
      </c>
      <c r="D147" t="inlineStr">
        <is>
          <t>DALARNAS LÄN</t>
        </is>
      </c>
      <c r="E147" t="inlineStr">
        <is>
          <t>GAGNEF</t>
        </is>
      </c>
      <c r="G147" t="n">
        <v>0.4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s="2" t="inlineStr"/>
    </row>
    <row r="148" ht="15" customHeight="1">
      <c r="A148" t="inlineStr">
        <is>
          <t>A 63131-2020</t>
        </is>
      </c>
      <c r="B148" s="1" t="n">
        <v>44162</v>
      </c>
      <c r="C148" s="1" t="n">
        <v>45186</v>
      </c>
      <c r="D148" t="inlineStr">
        <is>
          <t>DALARNAS LÄN</t>
        </is>
      </c>
      <c r="E148" t="inlineStr">
        <is>
          <t>GAGNEF</t>
        </is>
      </c>
      <c r="G148" t="n">
        <v>0.4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s="2" t="inlineStr"/>
    </row>
    <row r="149" ht="15" customHeight="1">
      <c r="A149" t="inlineStr">
        <is>
          <t>A 63585-2020</t>
        </is>
      </c>
      <c r="B149" s="1" t="n">
        <v>44165</v>
      </c>
      <c r="C149" s="1" t="n">
        <v>45186</v>
      </c>
      <c r="D149" t="inlineStr">
        <is>
          <t>DALARNAS LÄN</t>
        </is>
      </c>
      <c r="E149" t="inlineStr">
        <is>
          <t>GAGNEF</t>
        </is>
      </c>
      <c r="F149" t="inlineStr">
        <is>
          <t>Bergvik skog väst AB</t>
        </is>
      </c>
      <c r="G149" t="n">
        <v>3.2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s="2" t="inlineStr"/>
    </row>
    <row r="150" ht="15" customHeight="1">
      <c r="A150" t="inlineStr">
        <is>
          <t>A 65148-2020</t>
        </is>
      </c>
      <c r="B150" s="1" t="n">
        <v>44172</v>
      </c>
      <c r="C150" s="1" t="n">
        <v>45186</v>
      </c>
      <c r="D150" t="inlineStr">
        <is>
          <t>DALARNAS LÄN</t>
        </is>
      </c>
      <c r="E150" t="inlineStr">
        <is>
          <t>GAGNEF</t>
        </is>
      </c>
      <c r="G150" t="n">
        <v>3.7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s="2" t="inlineStr"/>
    </row>
    <row r="151" ht="15" customHeight="1">
      <c r="A151" t="inlineStr">
        <is>
          <t>A 65526-2020</t>
        </is>
      </c>
      <c r="B151" s="1" t="n">
        <v>44172</v>
      </c>
      <c r="C151" s="1" t="n">
        <v>45186</v>
      </c>
      <c r="D151" t="inlineStr">
        <is>
          <t>DALARNAS LÄN</t>
        </is>
      </c>
      <c r="E151" t="inlineStr">
        <is>
          <t>GAGNEF</t>
        </is>
      </c>
      <c r="G151" t="n">
        <v>2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s="2" t="inlineStr"/>
    </row>
    <row r="152" ht="15" customHeight="1">
      <c r="A152" t="inlineStr">
        <is>
          <t>A 68219-2020</t>
        </is>
      </c>
      <c r="B152" s="1" t="n">
        <v>44183</v>
      </c>
      <c r="C152" s="1" t="n">
        <v>45186</v>
      </c>
      <c r="D152" t="inlineStr">
        <is>
          <t>DALARNAS LÄN</t>
        </is>
      </c>
      <c r="E152" t="inlineStr">
        <is>
          <t>GAGNEF</t>
        </is>
      </c>
      <c r="G152" t="n">
        <v>1.2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s="2" t="inlineStr"/>
    </row>
    <row r="153" ht="15" customHeight="1">
      <c r="A153" t="inlineStr">
        <is>
          <t>A 68609-2020</t>
        </is>
      </c>
      <c r="B153" s="1" t="n">
        <v>44186</v>
      </c>
      <c r="C153" s="1" t="n">
        <v>45186</v>
      </c>
      <c r="D153" t="inlineStr">
        <is>
          <t>DALARNAS LÄN</t>
        </is>
      </c>
      <c r="E153" t="inlineStr">
        <is>
          <t>GAGNEF</t>
        </is>
      </c>
      <c r="G153" t="n">
        <v>0.7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s="2" t="inlineStr"/>
    </row>
    <row r="154" ht="15" customHeight="1">
      <c r="A154" t="inlineStr">
        <is>
          <t>A 69240-2020</t>
        </is>
      </c>
      <c r="B154" s="1" t="n">
        <v>44192</v>
      </c>
      <c r="C154" s="1" t="n">
        <v>45186</v>
      </c>
      <c r="D154" t="inlineStr">
        <is>
          <t>DALARNAS LÄN</t>
        </is>
      </c>
      <c r="E154" t="inlineStr">
        <is>
          <t>GAGNEF</t>
        </is>
      </c>
      <c r="G154" t="n">
        <v>1.6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s="2" t="inlineStr"/>
    </row>
    <row r="155" ht="15" customHeight="1">
      <c r="A155" t="inlineStr">
        <is>
          <t>A 3188-2021</t>
        </is>
      </c>
      <c r="B155" s="1" t="n">
        <v>44215</v>
      </c>
      <c r="C155" s="1" t="n">
        <v>45186</v>
      </c>
      <c r="D155" t="inlineStr">
        <is>
          <t>DALARNAS LÄN</t>
        </is>
      </c>
      <c r="E155" t="inlineStr">
        <is>
          <t>GAGNEF</t>
        </is>
      </c>
      <c r="G155" t="n">
        <v>10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s="2" t="inlineStr"/>
    </row>
    <row r="156" ht="15" customHeight="1">
      <c r="A156" t="inlineStr">
        <is>
          <t>A 8876-2021</t>
        </is>
      </c>
      <c r="B156" s="1" t="n">
        <v>44247</v>
      </c>
      <c r="C156" s="1" t="n">
        <v>45186</v>
      </c>
      <c r="D156" t="inlineStr">
        <is>
          <t>DALARNAS LÄN</t>
        </is>
      </c>
      <c r="E156" t="inlineStr">
        <is>
          <t>GAGNEF</t>
        </is>
      </c>
      <c r="G156" t="n">
        <v>1.6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s="2" t="inlineStr"/>
    </row>
    <row r="157" ht="15" customHeight="1">
      <c r="A157" t="inlineStr">
        <is>
          <t>A 9833-2021</t>
        </is>
      </c>
      <c r="B157" s="1" t="n">
        <v>44253</v>
      </c>
      <c r="C157" s="1" t="n">
        <v>45186</v>
      </c>
      <c r="D157" t="inlineStr">
        <is>
          <t>DALARNAS LÄN</t>
        </is>
      </c>
      <c r="E157" t="inlineStr">
        <is>
          <t>GAGNEF</t>
        </is>
      </c>
      <c r="G157" t="n">
        <v>0.6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s="2" t="inlineStr"/>
    </row>
    <row r="158" ht="15" customHeight="1">
      <c r="A158" t="inlineStr">
        <is>
          <t>A 11539-2021</t>
        </is>
      </c>
      <c r="B158" s="1" t="n">
        <v>44264</v>
      </c>
      <c r="C158" s="1" t="n">
        <v>45186</v>
      </c>
      <c r="D158" t="inlineStr">
        <is>
          <t>DALARNAS LÄN</t>
        </is>
      </c>
      <c r="E158" t="inlineStr">
        <is>
          <t>GAGNEF</t>
        </is>
      </c>
      <c r="G158" t="n">
        <v>1.5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s="2" t="inlineStr"/>
    </row>
    <row r="159" ht="15" customHeight="1">
      <c r="A159" t="inlineStr">
        <is>
          <t>A 11549-2021</t>
        </is>
      </c>
      <c r="B159" s="1" t="n">
        <v>44264</v>
      </c>
      <c r="C159" s="1" t="n">
        <v>45186</v>
      </c>
      <c r="D159" t="inlineStr">
        <is>
          <t>DALARNAS LÄN</t>
        </is>
      </c>
      <c r="E159" t="inlineStr">
        <is>
          <t>GAGNEF</t>
        </is>
      </c>
      <c r="G159" t="n">
        <v>1.7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s="2" t="inlineStr"/>
    </row>
    <row r="160" ht="15" customHeight="1">
      <c r="A160" t="inlineStr">
        <is>
          <t>A 11995-2021</t>
        </is>
      </c>
      <c r="B160" s="1" t="n">
        <v>44266</v>
      </c>
      <c r="C160" s="1" t="n">
        <v>45186</v>
      </c>
      <c r="D160" t="inlineStr">
        <is>
          <t>DALARNAS LÄN</t>
        </is>
      </c>
      <c r="E160" t="inlineStr">
        <is>
          <t>GAGNEF</t>
        </is>
      </c>
      <c r="G160" t="n">
        <v>0.5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s="2" t="inlineStr"/>
    </row>
    <row r="161" ht="15" customHeight="1">
      <c r="A161" t="inlineStr">
        <is>
          <t>A 21309-2021</t>
        </is>
      </c>
      <c r="B161" s="1" t="n">
        <v>44320</v>
      </c>
      <c r="C161" s="1" t="n">
        <v>45186</v>
      </c>
      <c r="D161" t="inlineStr">
        <is>
          <t>DALARNAS LÄN</t>
        </is>
      </c>
      <c r="E161" t="inlineStr">
        <is>
          <t>GAGNEF</t>
        </is>
      </c>
      <c r="F161" t="inlineStr">
        <is>
          <t>Bergvik skog väst AB</t>
        </is>
      </c>
      <c r="G161" t="n">
        <v>2.3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s="2" t="inlineStr"/>
    </row>
    <row r="162" ht="15" customHeight="1">
      <c r="A162" t="inlineStr">
        <is>
          <t>A 21456-2021</t>
        </is>
      </c>
      <c r="B162" s="1" t="n">
        <v>44321</v>
      </c>
      <c r="C162" s="1" t="n">
        <v>45186</v>
      </c>
      <c r="D162" t="inlineStr">
        <is>
          <t>DALARNAS LÄN</t>
        </is>
      </c>
      <c r="E162" t="inlineStr">
        <is>
          <t>GAGNEF</t>
        </is>
      </c>
      <c r="F162" t="inlineStr">
        <is>
          <t>Bergvik skog väst AB</t>
        </is>
      </c>
      <c r="G162" t="n">
        <v>0.5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s="2" t="inlineStr"/>
    </row>
    <row r="163" ht="15" customHeight="1">
      <c r="A163" t="inlineStr">
        <is>
          <t>A 22309-2021</t>
        </is>
      </c>
      <c r="B163" s="1" t="n">
        <v>44326</v>
      </c>
      <c r="C163" s="1" t="n">
        <v>45186</v>
      </c>
      <c r="D163" t="inlineStr">
        <is>
          <t>DALARNAS LÄN</t>
        </is>
      </c>
      <c r="E163" t="inlineStr">
        <is>
          <t>GAGNEF</t>
        </is>
      </c>
      <c r="G163" t="n">
        <v>0.6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s="2" t="inlineStr"/>
    </row>
    <row r="164" ht="15" customHeight="1">
      <c r="A164" t="inlineStr">
        <is>
          <t>A 24963-2021</t>
        </is>
      </c>
      <c r="B164" s="1" t="n">
        <v>44341</v>
      </c>
      <c r="C164" s="1" t="n">
        <v>45186</v>
      </c>
      <c r="D164" t="inlineStr">
        <is>
          <t>DALARNAS LÄN</t>
        </is>
      </c>
      <c r="E164" t="inlineStr">
        <is>
          <t>GAGNEF</t>
        </is>
      </c>
      <c r="G164" t="n">
        <v>1.1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s="2" t="inlineStr"/>
    </row>
    <row r="165" ht="15" customHeight="1">
      <c r="A165" t="inlineStr">
        <is>
          <t>A 33034-2021</t>
        </is>
      </c>
      <c r="B165" s="1" t="n">
        <v>44376</v>
      </c>
      <c r="C165" s="1" t="n">
        <v>45186</v>
      </c>
      <c r="D165" t="inlineStr">
        <is>
          <t>DALARNAS LÄN</t>
        </is>
      </c>
      <c r="E165" t="inlineStr">
        <is>
          <t>GAGNEF</t>
        </is>
      </c>
      <c r="G165" t="n">
        <v>1.5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s="2" t="inlineStr"/>
    </row>
    <row r="166" ht="15" customHeight="1">
      <c r="A166" t="inlineStr">
        <is>
          <t>A 33754-2021</t>
        </is>
      </c>
      <c r="B166" s="1" t="n">
        <v>44378</v>
      </c>
      <c r="C166" s="1" t="n">
        <v>45186</v>
      </c>
      <c r="D166" t="inlineStr">
        <is>
          <t>DALARNAS LÄN</t>
        </is>
      </c>
      <c r="E166" t="inlineStr">
        <is>
          <t>GAGNEF</t>
        </is>
      </c>
      <c r="G166" t="n">
        <v>2.8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s="2" t="inlineStr"/>
    </row>
    <row r="167" ht="15" customHeight="1">
      <c r="A167" t="inlineStr">
        <is>
          <t>A 34322-2021</t>
        </is>
      </c>
      <c r="B167" s="1" t="n">
        <v>44379</v>
      </c>
      <c r="C167" s="1" t="n">
        <v>45186</v>
      </c>
      <c r="D167" t="inlineStr">
        <is>
          <t>DALARNAS LÄN</t>
        </is>
      </c>
      <c r="E167" t="inlineStr">
        <is>
          <t>GAGNEF</t>
        </is>
      </c>
      <c r="G167" t="n">
        <v>9.4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s="2" t="inlineStr"/>
    </row>
    <row r="168" ht="15" customHeight="1">
      <c r="A168" t="inlineStr">
        <is>
          <t>A 35085-2021</t>
        </is>
      </c>
      <c r="B168" s="1" t="n">
        <v>44384</v>
      </c>
      <c r="C168" s="1" t="n">
        <v>45186</v>
      </c>
      <c r="D168" t="inlineStr">
        <is>
          <t>DALARNAS LÄN</t>
        </is>
      </c>
      <c r="E168" t="inlineStr">
        <is>
          <t>GAGNEF</t>
        </is>
      </c>
      <c r="G168" t="n">
        <v>5.1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s="2" t="inlineStr"/>
    </row>
    <row r="169" ht="15" customHeight="1">
      <c r="A169" t="inlineStr">
        <is>
          <t>A 37131-2021</t>
        </is>
      </c>
      <c r="B169" s="1" t="n">
        <v>44396</v>
      </c>
      <c r="C169" s="1" t="n">
        <v>45186</v>
      </c>
      <c r="D169" t="inlineStr">
        <is>
          <t>DALARNAS LÄN</t>
        </is>
      </c>
      <c r="E169" t="inlineStr">
        <is>
          <t>GAGNEF</t>
        </is>
      </c>
      <c r="G169" t="n">
        <v>1.8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s="2" t="inlineStr"/>
    </row>
    <row r="170" ht="15" customHeight="1">
      <c r="A170" t="inlineStr">
        <is>
          <t>A 37245-2021</t>
        </is>
      </c>
      <c r="B170" s="1" t="n">
        <v>44396</v>
      </c>
      <c r="C170" s="1" t="n">
        <v>45186</v>
      </c>
      <c r="D170" t="inlineStr">
        <is>
          <t>DALARNAS LÄN</t>
        </is>
      </c>
      <c r="E170" t="inlineStr">
        <is>
          <t>GAGNEF</t>
        </is>
      </c>
      <c r="G170" t="n">
        <v>9.199999999999999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s="2" t="inlineStr"/>
    </row>
    <row r="171" ht="15" customHeight="1">
      <c r="A171" t="inlineStr">
        <is>
          <t>A 37246-2021</t>
        </is>
      </c>
      <c r="B171" s="1" t="n">
        <v>44396</v>
      </c>
      <c r="C171" s="1" t="n">
        <v>45186</v>
      </c>
      <c r="D171" t="inlineStr">
        <is>
          <t>DALARNAS LÄN</t>
        </is>
      </c>
      <c r="E171" t="inlineStr">
        <is>
          <t>GAGNEF</t>
        </is>
      </c>
      <c r="G171" t="n">
        <v>1.1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s="2" t="inlineStr"/>
    </row>
    <row r="172" ht="15" customHeight="1">
      <c r="A172" t="inlineStr">
        <is>
          <t>A 46567-2021</t>
        </is>
      </c>
      <c r="B172" s="1" t="n">
        <v>44445</v>
      </c>
      <c r="C172" s="1" t="n">
        <v>45186</v>
      </c>
      <c r="D172" t="inlineStr">
        <is>
          <t>DALARNAS LÄN</t>
        </is>
      </c>
      <c r="E172" t="inlineStr">
        <is>
          <t>GAGNEF</t>
        </is>
      </c>
      <c r="G172" t="n">
        <v>0.9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s="2" t="inlineStr"/>
    </row>
    <row r="173" ht="15" customHeight="1">
      <c r="A173" t="inlineStr">
        <is>
          <t>A 48623-2021</t>
        </is>
      </c>
      <c r="B173" s="1" t="n">
        <v>44452</v>
      </c>
      <c r="C173" s="1" t="n">
        <v>45186</v>
      </c>
      <c r="D173" t="inlineStr">
        <is>
          <t>DALARNAS LÄN</t>
        </is>
      </c>
      <c r="E173" t="inlineStr">
        <is>
          <t>GAGNEF</t>
        </is>
      </c>
      <c r="G173" t="n">
        <v>6.5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s="2" t="inlineStr"/>
    </row>
    <row r="174" ht="15" customHeight="1">
      <c r="A174" t="inlineStr">
        <is>
          <t>A 54870-2021</t>
        </is>
      </c>
      <c r="B174" s="1" t="n">
        <v>44474</v>
      </c>
      <c r="C174" s="1" t="n">
        <v>45186</v>
      </c>
      <c r="D174" t="inlineStr">
        <is>
          <t>DALARNAS LÄN</t>
        </is>
      </c>
      <c r="E174" t="inlineStr">
        <is>
          <t>GAGNEF</t>
        </is>
      </c>
      <c r="G174" t="n">
        <v>3.6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s="2" t="inlineStr"/>
    </row>
    <row r="175" ht="15" customHeight="1">
      <c r="A175" t="inlineStr">
        <is>
          <t>A 55869-2021</t>
        </is>
      </c>
      <c r="B175" s="1" t="n">
        <v>44476</v>
      </c>
      <c r="C175" s="1" t="n">
        <v>45186</v>
      </c>
      <c r="D175" t="inlineStr">
        <is>
          <t>DALARNAS LÄN</t>
        </is>
      </c>
      <c r="E175" t="inlineStr">
        <is>
          <t>GAGNEF</t>
        </is>
      </c>
      <c r="G175" t="n">
        <v>0.5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s="2" t="inlineStr"/>
    </row>
    <row r="176" ht="15" customHeight="1">
      <c r="A176" t="inlineStr">
        <is>
          <t>A 59893-2021</t>
        </is>
      </c>
      <c r="B176" s="1" t="n">
        <v>44494</v>
      </c>
      <c r="C176" s="1" t="n">
        <v>45186</v>
      </c>
      <c r="D176" t="inlineStr">
        <is>
          <t>DALARNAS LÄN</t>
        </is>
      </c>
      <c r="E176" t="inlineStr">
        <is>
          <t>GAGNEF</t>
        </is>
      </c>
      <c r="G176" t="n">
        <v>1.6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s="2" t="inlineStr"/>
    </row>
    <row r="177" ht="15" customHeight="1">
      <c r="A177" t="inlineStr">
        <is>
          <t>A 63947-2021</t>
        </is>
      </c>
      <c r="B177" s="1" t="n">
        <v>44509</v>
      </c>
      <c r="C177" s="1" t="n">
        <v>45186</v>
      </c>
      <c r="D177" t="inlineStr">
        <is>
          <t>DALARNAS LÄN</t>
        </is>
      </c>
      <c r="E177" t="inlineStr">
        <is>
          <t>GAGNEF</t>
        </is>
      </c>
      <c r="G177" t="n">
        <v>8.300000000000001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s="2" t="inlineStr"/>
    </row>
    <row r="178" ht="15" customHeight="1">
      <c r="A178" t="inlineStr">
        <is>
          <t>A 64503-2021</t>
        </is>
      </c>
      <c r="B178" s="1" t="n">
        <v>44511</v>
      </c>
      <c r="C178" s="1" t="n">
        <v>45186</v>
      </c>
      <c r="D178" t="inlineStr">
        <is>
          <t>DALARNAS LÄN</t>
        </is>
      </c>
      <c r="E178" t="inlineStr">
        <is>
          <t>GAGNEF</t>
        </is>
      </c>
      <c r="G178" t="n">
        <v>0.3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s="2" t="inlineStr"/>
    </row>
    <row r="179" ht="15" customHeight="1">
      <c r="A179" t="inlineStr">
        <is>
          <t>A 66613-2021</t>
        </is>
      </c>
      <c r="B179" s="1" t="n">
        <v>44519</v>
      </c>
      <c r="C179" s="1" t="n">
        <v>45186</v>
      </c>
      <c r="D179" t="inlineStr">
        <is>
          <t>DALARNAS LÄN</t>
        </is>
      </c>
      <c r="E179" t="inlineStr">
        <is>
          <t>GAGNEF</t>
        </is>
      </c>
      <c r="G179" t="n">
        <v>0.2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s="2" t="inlineStr"/>
    </row>
    <row r="180" ht="15" customHeight="1">
      <c r="A180" t="inlineStr">
        <is>
          <t>A 68330-2021</t>
        </is>
      </c>
      <c r="B180" s="1" t="n">
        <v>44527</v>
      </c>
      <c r="C180" s="1" t="n">
        <v>45186</v>
      </c>
      <c r="D180" t="inlineStr">
        <is>
          <t>DALARNAS LÄN</t>
        </is>
      </c>
      <c r="E180" t="inlineStr">
        <is>
          <t>GAGNEF</t>
        </is>
      </c>
      <c r="G180" t="n">
        <v>4.1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s="2" t="inlineStr"/>
    </row>
    <row r="181" ht="15" customHeight="1">
      <c r="A181" t="inlineStr">
        <is>
          <t>A 71549-2021</t>
        </is>
      </c>
      <c r="B181" s="1" t="n">
        <v>44540</v>
      </c>
      <c r="C181" s="1" t="n">
        <v>45186</v>
      </c>
      <c r="D181" t="inlineStr">
        <is>
          <t>DALARNAS LÄN</t>
        </is>
      </c>
      <c r="E181" t="inlineStr">
        <is>
          <t>GAGNEF</t>
        </is>
      </c>
      <c r="G181" t="n">
        <v>2.9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s="2" t="inlineStr"/>
    </row>
    <row r="182" ht="15" customHeight="1">
      <c r="A182" t="inlineStr">
        <is>
          <t>A 72978-2021</t>
        </is>
      </c>
      <c r="B182" s="1" t="n">
        <v>44549</v>
      </c>
      <c r="C182" s="1" t="n">
        <v>45186</v>
      </c>
      <c r="D182" t="inlineStr">
        <is>
          <t>DALARNAS LÄN</t>
        </is>
      </c>
      <c r="E182" t="inlineStr">
        <is>
          <t>GAGNEF</t>
        </is>
      </c>
      <c r="G182" t="n">
        <v>0.5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s="2" t="inlineStr"/>
    </row>
    <row r="183" ht="15" customHeight="1">
      <c r="A183" t="inlineStr">
        <is>
          <t>A 74336-2021</t>
        </is>
      </c>
      <c r="B183" s="1" t="n">
        <v>44559</v>
      </c>
      <c r="C183" s="1" t="n">
        <v>45186</v>
      </c>
      <c r="D183" t="inlineStr">
        <is>
          <t>DALARNAS LÄN</t>
        </is>
      </c>
      <c r="E183" t="inlineStr">
        <is>
          <t>GAGNEF</t>
        </is>
      </c>
      <c r="G183" t="n">
        <v>8.1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s="2" t="inlineStr"/>
    </row>
    <row r="184" ht="15" customHeight="1">
      <c r="A184" t="inlineStr">
        <is>
          <t>A 3316-2022</t>
        </is>
      </c>
      <c r="B184" s="1" t="n">
        <v>44585</v>
      </c>
      <c r="C184" s="1" t="n">
        <v>45186</v>
      </c>
      <c r="D184" t="inlineStr">
        <is>
          <t>DALARNAS LÄN</t>
        </is>
      </c>
      <c r="E184" t="inlineStr">
        <is>
          <t>GAGNEF</t>
        </is>
      </c>
      <c r="G184" t="n">
        <v>2.1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s="2" t="inlineStr"/>
    </row>
    <row r="185" ht="15" customHeight="1">
      <c r="A185" t="inlineStr">
        <is>
          <t>A 6566-2022</t>
        </is>
      </c>
      <c r="B185" s="1" t="n">
        <v>44601</v>
      </c>
      <c r="C185" s="1" t="n">
        <v>45186</v>
      </c>
      <c r="D185" t="inlineStr">
        <is>
          <t>DALARNAS LÄN</t>
        </is>
      </c>
      <c r="E185" t="inlineStr">
        <is>
          <t>GAGNEF</t>
        </is>
      </c>
      <c r="G185" t="n">
        <v>0.7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s="2" t="inlineStr"/>
    </row>
    <row r="186" ht="15" customHeight="1">
      <c r="A186" t="inlineStr">
        <is>
          <t>A 8026-2022</t>
        </is>
      </c>
      <c r="B186" s="1" t="n">
        <v>44609</v>
      </c>
      <c r="C186" s="1" t="n">
        <v>45186</v>
      </c>
      <c r="D186" t="inlineStr">
        <is>
          <t>DALARNAS LÄN</t>
        </is>
      </c>
      <c r="E186" t="inlineStr">
        <is>
          <t>GAGNEF</t>
        </is>
      </c>
      <c r="G186" t="n">
        <v>2.5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s="2" t="inlineStr"/>
    </row>
    <row r="187" ht="15" customHeight="1">
      <c r="A187" t="inlineStr">
        <is>
          <t>A 10744-2022</t>
        </is>
      </c>
      <c r="B187" s="1" t="n">
        <v>44627</v>
      </c>
      <c r="C187" s="1" t="n">
        <v>45186</v>
      </c>
      <c r="D187" t="inlineStr">
        <is>
          <t>DALARNAS LÄN</t>
        </is>
      </c>
      <c r="E187" t="inlineStr">
        <is>
          <t>GAGNEF</t>
        </is>
      </c>
      <c r="G187" t="n">
        <v>5.8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s="2" t="inlineStr"/>
    </row>
    <row r="188" ht="15" customHeight="1">
      <c r="A188" t="inlineStr">
        <is>
          <t>A 11680-2022</t>
        </is>
      </c>
      <c r="B188" s="1" t="n">
        <v>44634</v>
      </c>
      <c r="C188" s="1" t="n">
        <v>45186</v>
      </c>
      <c r="D188" t="inlineStr">
        <is>
          <t>DALARNAS LÄN</t>
        </is>
      </c>
      <c r="E188" t="inlineStr">
        <is>
          <t>GAGNEF</t>
        </is>
      </c>
      <c r="G188" t="n">
        <v>7.8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s="2" t="inlineStr"/>
    </row>
    <row r="189" ht="15" customHeight="1">
      <c r="A189" t="inlineStr">
        <is>
          <t>A 15631-2022</t>
        </is>
      </c>
      <c r="B189" s="1" t="n">
        <v>44662</v>
      </c>
      <c r="C189" s="1" t="n">
        <v>45186</v>
      </c>
      <c r="D189" t="inlineStr">
        <is>
          <t>DALARNAS LÄN</t>
        </is>
      </c>
      <c r="E189" t="inlineStr">
        <is>
          <t>GAGNEF</t>
        </is>
      </c>
      <c r="G189" t="n">
        <v>2.5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s="2" t="inlineStr"/>
    </row>
    <row r="190" ht="15" customHeight="1">
      <c r="A190" t="inlineStr">
        <is>
          <t>A 16192-2022</t>
        </is>
      </c>
      <c r="B190" s="1" t="n">
        <v>44669</v>
      </c>
      <c r="C190" s="1" t="n">
        <v>45186</v>
      </c>
      <c r="D190" t="inlineStr">
        <is>
          <t>DALARNAS LÄN</t>
        </is>
      </c>
      <c r="E190" t="inlineStr">
        <is>
          <t>GAGNEF</t>
        </is>
      </c>
      <c r="F190" t="inlineStr">
        <is>
          <t>Bergvik skog väst AB</t>
        </is>
      </c>
      <c r="G190" t="n">
        <v>1.4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s="2" t="inlineStr"/>
    </row>
    <row r="191" ht="15" customHeight="1">
      <c r="A191" t="inlineStr">
        <is>
          <t>A 16389-2022</t>
        </is>
      </c>
      <c r="B191" s="1" t="n">
        <v>44671</v>
      </c>
      <c r="C191" s="1" t="n">
        <v>45186</v>
      </c>
      <c r="D191" t="inlineStr">
        <is>
          <t>DALARNAS LÄN</t>
        </is>
      </c>
      <c r="E191" t="inlineStr">
        <is>
          <t>GAGNEF</t>
        </is>
      </c>
      <c r="G191" t="n">
        <v>1.9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s="2" t="inlineStr"/>
    </row>
    <row r="192" ht="15" customHeight="1">
      <c r="A192" t="inlineStr">
        <is>
          <t>A 16409-2022</t>
        </is>
      </c>
      <c r="B192" s="1" t="n">
        <v>44671</v>
      </c>
      <c r="C192" s="1" t="n">
        <v>45186</v>
      </c>
      <c r="D192" t="inlineStr">
        <is>
          <t>DALARNAS LÄN</t>
        </is>
      </c>
      <c r="E192" t="inlineStr">
        <is>
          <t>GAGNEF</t>
        </is>
      </c>
      <c r="G192" t="n">
        <v>0.5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s="2" t="inlineStr"/>
    </row>
    <row r="193" ht="15" customHeight="1">
      <c r="A193" t="inlineStr">
        <is>
          <t>A 16388-2022</t>
        </is>
      </c>
      <c r="B193" s="1" t="n">
        <v>44671</v>
      </c>
      <c r="C193" s="1" t="n">
        <v>45186</v>
      </c>
      <c r="D193" t="inlineStr">
        <is>
          <t>DALARNAS LÄN</t>
        </is>
      </c>
      <c r="E193" t="inlineStr">
        <is>
          <t>GAGNEF</t>
        </is>
      </c>
      <c r="G193" t="n">
        <v>1.1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s="2" t="inlineStr"/>
    </row>
    <row r="194" ht="15" customHeight="1">
      <c r="A194" t="inlineStr">
        <is>
          <t>A 18648-2022</t>
        </is>
      </c>
      <c r="B194" s="1" t="n">
        <v>44687</v>
      </c>
      <c r="C194" s="1" t="n">
        <v>45186</v>
      </c>
      <c r="D194" t="inlineStr">
        <is>
          <t>DALARNAS LÄN</t>
        </is>
      </c>
      <c r="E194" t="inlineStr">
        <is>
          <t>GAGNEF</t>
        </is>
      </c>
      <c r="F194" t="inlineStr">
        <is>
          <t>Bergvik skog väst AB</t>
        </is>
      </c>
      <c r="G194" t="n">
        <v>0.9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s="2" t="inlineStr"/>
    </row>
    <row r="195" ht="15" customHeight="1">
      <c r="A195" t="inlineStr">
        <is>
          <t>A 18650-2022</t>
        </is>
      </c>
      <c r="B195" s="1" t="n">
        <v>44687</v>
      </c>
      <c r="C195" s="1" t="n">
        <v>45186</v>
      </c>
      <c r="D195" t="inlineStr">
        <is>
          <t>DALARNAS LÄN</t>
        </is>
      </c>
      <c r="E195" t="inlineStr">
        <is>
          <t>GAGNEF</t>
        </is>
      </c>
      <c r="F195" t="inlineStr">
        <is>
          <t>Bergvik skog väst AB</t>
        </is>
      </c>
      <c r="G195" t="n">
        <v>2.4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s="2" t="inlineStr"/>
    </row>
    <row r="196" ht="15" customHeight="1">
      <c r="A196" t="inlineStr">
        <is>
          <t>A 22457-2022</t>
        </is>
      </c>
      <c r="B196" s="1" t="n">
        <v>44713</v>
      </c>
      <c r="C196" s="1" t="n">
        <v>45186</v>
      </c>
      <c r="D196" t="inlineStr">
        <is>
          <t>DALARNAS LÄN</t>
        </is>
      </c>
      <c r="E196" t="inlineStr">
        <is>
          <t>GAGNEF</t>
        </is>
      </c>
      <c r="G196" t="n">
        <v>1.7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s="2" t="inlineStr"/>
    </row>
    <row r="197" ht="15" customHeight="1">
      <c r="A197" t="inlineStr">
        <is>
          <t>A 25620-2022</t>
        </is>
      </c>
      <c r="B197" s="1" t="n">
        <v>44732</v>
      </c>
      <c r="C197" s="1" t="n">
        <v>45186</v>
      </c>
      <c r="D197" t="inlineStr">
        <is>
          <t>DALARNAS LÄN</t>
        </is>
      </c>
      <c r="E197" t="inlineStr">
        <is>
          <t>GAGNEF</t>
        </is>
      </c>
      <c r="F197" t="inlineStr">
        <is>
          <t>Kyrkan</t>
        </is>
      </c>
      <c r="G197" t="n">
        <v>1.6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s="2" t="inlineStr"/>
    </row>
    <row r="198" ht="15" customHeight="1">
      <c r="A198" t="inlineStr">
        <is>
          <t>A 28307-2022</t>
        </is>
      </c>
      <c r="B198" s="1" t="n">
        <v>44747</v>
      </c>
      <c r="C198" s="1" t="n">
        <v>45186</v>
      </c>
      <c r="D198" t="inlineStr">
        <is>
          <t>DALARNAS LÄN</t>
        </is>
      </c>
      <c r="E198" t="inlineStr">
        <is>
          <t>GAGNEF</t>
        </is>
      </c>
      <c r="G198" t="n">
        <v>2.7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s="2" t="inlineStr"/>
    </row>
    <row r="199" ht="15" customHeight="1">
      <c r="A199" t="inlineStr">
        <is>
          <t>A 28854-2022</t>
        </is>
      </c>
      <c r="B199" s="1" t="n">
        <v>44749</v>
      </c>
      <c r="C199" s="1" t="n">
        <v>45186</v>
      </c>
      <c r="D199" t="inlineStr">
        <is>
          <t>DALARNAS LÄN</t>
        </is>
      </c>
      <c r="E199" t="inlineStr">
        <is>
          <t>GAGNEF</t>
        </is>
      </c>
      <c r="G199" t="n">
        <v>7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s="2" t="inlineStr"/>
    </row>
    <row r="200" ht="15" customHeight="1">
      <c r="A200" t="inlineStr">
        <is>
          <t>A 32028-2022</t>
        </is>
      </c>
      <c r="B200" s="1" t="n">
        <v>44778</v>
      </c>
      <c r="C200" s="1" t="n">
        <v>45186</v>
      </c>
      <c r="D200" t="inlineStr">
        <is>
          <t>DALARNAS LÄN</t>
        </is>
      </c>
      <c r="E200" t="inlineStr">
        <is>
          <t>GAGNEF</t>
        </is>
      </c>
      <c r="G200" t="n">
        <v>0.9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s="2" t="inlineStr"/>
    </row>
    <row r="201" ht="15" customHeight="1">
      <c r="A201" t="inlineStr">
        <is>
          <t>A 37875-2022</t>
        </is>
      </c>
      <c r="B201" s="1" t="n">
        <v>44811</v>
      </c>
      <c r="C201" s="1" t="n">
        <v>45186</v>
      </c>
      <c r="D201" t="inlineStr">
        <is>
          <t>DALARNAS LÄN</t>
        </is>
      </c>
      <c r="E201" t="inlineStr">
        <is>
          <t>GAGNEF</t>
        </is>
      </c>
      <c r="G201" t="n">
        <v>6.4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s="2" t="inlineStr"/>
    </row>
    <row r="202" ht="15" customHeight="1">
      <c r="A202" t="inlineStr">
        <is>
          <t>A 45032-2022</t>
        </is>
      </c>
      <c r="B202" s="1" t="n">
        <v>44841</v>
      </c>
      <c r="C202" s="1" t="n">
        <v>45186</v>
      </c>
      <c r="D202" t="inlineStr">
        <is>
          <t>DALARNAS LÄN</t>
        </is>
      </c>
      <c r="E202" t="inlineStr">
        <is>
          <t>GAGNEF</t>
        </is>
      </c>
      <c r="G202" t="n">
        <v>1.6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s="2" t="inlineStr"/>
    </row>
    <row r="203" ht="15" customHeight="1">
      <c r="A203" t="inlineStr">
        <is>
          <t>A 44875-2022</t>
        </is>
      </c>
      <c r="B203" s="1" t="n">
        <v>44841</v>
      </c>
      <c r="C203" s="1" t="n">
        <v>45186</v>
      </c>
      <c r="D203" t="inlineStr">
        <is>
          <t>DALARNAS LÄN</t>
        </is>
      </c>
      <c r="E203" t="inlineStr">
        <is>
          <t>GAGNEF</t>
        </is>
      </c>
      <c r="G203" t="n">
        <v>0.8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s="2" t="inlineStr"/>
    </row>
    <row r="204" ht="15" customHeight="1">
      <c r="A204" t="inlineStr">
        <is>
          <t>A 45034-2022</t>
        </is>
      </c>
      <c r="B204" s="1" t="n">
        <v>44841</v>
      </c>
      <c r="C204" s="1" t="n">
        <v>45186</v>
      </c>
      <c r="D204" t="inlineStr">
        <is>
          <t>DALARNAS LÄN</t>
        </is>
      </c>
      <c r="E204" t="inlineStr">
        <is>
          <t>GAGNEF</t>
        </is>
      </c>
      <c r="G204" t="n">
        <v>2.2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s="2" t="inlineStr"/>
    </row>
    <row r="205" ht="15" customHeight="1">
      <c r="A205" t="inlineStr">
        <is>
          <t>A 50036-2022</t>
        </is>
      </c>
      <c r="B205" s="1" t="n">
        <v>44865</v>
      </c>
      <c r="C205" s="1" t="n">
        <v>45186</v>
      </c>
      <c r="D205" t="inlineStr">
        <is>
          <t>DALARNAS LÄN</t>
        </is>
      </c>
      <c r="E205" t="inlineStr">
        <is>
          <t>GAGNEF</t>
        </is>
      </c>
      <c r="F205" t="inlineStr">
        <is>
          <t>Bergvik skog väst AB</t>
        </is>
      </c>
      <c r="G205" t="n">
        <v>2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s="2" t="inlineStr"/>
    </row>
    <row r="206" ht="15" customHeight="1">
      <c r="A206" t="inlineStr">
        <is>
          <t>A 50893-2022</t>
        </is>
      </c>
      <c r="B206" s="1" t="n">
        <v>44867</v>
      </c>
      <c r="C206" s="1" t="n">
        <v>45186</v>
      </c>
      <c r="D206" t="inlineStr">
        <is>
          <t>DALARNAS LÄN</t>
        </is>
      </c>
      <c r="E206" t="inlineStr">
        <is>
          <t>GAGNEF</t>
        </is>
      </c>
      <c r="G206" t="n">
        <v>0.5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s="2" t="inlineStr"/>
    </row>
    <row r="207" ht="15" customHeight="1">
      <c r="A207" t="inlineStr">
        <is>
          <t>A 51179-2022</t>
        </is>
      </c>
      <c r="B207" s="1" t="n">
        <v>44868</v>
      </c>
      <c r="C207" s="1" t="n">
        <v>45186</v>
      </c>
      <c r="D207" t="inlineStr">
        <is>
          <t>DALARNAS LÄN</t>
        </is>
      </c>
      <c r="E207" t="inlineStr">
        <is>
          <t>GAGNEF</t>
        </is>
      </c>
      <c r="G207" t="n">
        <v>9.5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s="2" t="inlineStr"/>
    </row>
    <row r="208" ht="15" customHeight="1">
      <c r="A208" t="inlineStr">
        <is>
          <t>A 51138-2022</t>
        </is>
      </c>
      <c r="B208" s="1" t="n">
        <v>44868</v>
      </c>
      <c r="C208" s="1" t="n">
        <v>45186</v>
      </c>
      <c r="D208" t="inlineStr">
        <is>
          <t>DALARNAS LÄN</t>
        </is>
      </c>
      <c r="E208" t="inlineStr">
        <is>
          <t>GAGNEF</t>
        </is>
      </c>
      <c r="G208" t="n">
        <v>0.6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s="2" t="inlineStr"/>
    </row>
    <row r="209" ht="15" customHeight="1">
      <c r="A209" t="inlineStr">
        <is>
          <t>A 52815-2022</t>
        </is>
      </c>
      <c r="B209" s="1" t="n">
        <v>44875</v>
      </c>
      <c r="C209" s="1" t="n">
        <v>45186</v>
      </c>
      <c r="D209" t="inlineStr">
        <is>
          <t>DALARNAS LÄN</t>
        </is>
      </c>
      <c r="E209" t="inlineStr">
        <is>
          <t>GAGNEF</t>
        </is>
      </c>
      <c r="G209" t="n">
        <v>9.9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s="2" t="inlineStr"/>
    </row>
    <row r="210" ht="15" customHeight="1">
      <c r="A210" t="inlineStr">
        <is>
          <t>A 54742-2022</t>
        </is>
      </c>
      <c r="B210" s="1" t="n">
        <v>44883</v>
      </c>
      <c r="C210" s="1" t="n">
        <v>45186</v>
      </c>
      <c r="D210" t="inlineStr">
        <is>
          <t>DALARNAS LÄN</t>
        </is>
      </c>
      <c r="E210" t="inlineStr">
        <is>
          <t>GAGNEF</t>
        </is>
      </c>
      <c r="G210" t="n">
        <v>2.9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s="2" t="inlineStr"/>
    </row>
    <row r="211" ht="15" customHeight="1">
      <c r="A211" t="inlineStr">
        <is>
          <t>A 54603-2022</t>
        </is>
      </c>
      <c r="B211" s="1" t="n">
        <v>44883</v>
      </c>
      <c r="C211" s="1" t="n">
        <v>45186</v>
      </c>
      <c r="D211" t="inlineStr">
        <is>
          <t>DALARNAS LÄN</t>
        </is>
      </c>
      <c r="E211" t="inlineStr">
        <is>
          <t>GAGNEF</t>
        </is>
      </c>
      <c r="F211" t="inlineStr">
        <is>
          <t>Bergvik skog väst AB</t>
        </is>
      </c>
      <c r="G211" t="n">
        <v>3.7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s="2" t="inlineStr"/>
    </row>
    <row r="212" ht="15" customHeight="1">
      <c r="A212" t="inlineStr">
        <is>
          <t>A 55392-2022</t>
        </is>
      </c>
      <c r="B212" s="1" t="n">
        <v>44887</v>
      </c>
      <c r="C212" s="1" t="n">
        <v>45186</v>
      </c>
      <c r="D212" t="inlineStr">
        <is>
          <t>DALARNAS LÄN</t>
        </is>
      </c>
      <c r="E212" t="inlineStr">
        <is>
          <t>GAGNEF</t>
        </is>
      </c>
      <c r="G212" t="n">
        <v>0.4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s="2" t="inlineStr"/>
    </row>
    <row r="213" ht="15" customHeight="1">
      <c r="A213" t="inlineStr">
        <is>
          <t>A 55771-2022</t>
        </is>
      </c>
      <c r="B213" s="1" t="n">
        <v>44888</v>
      </c>
      <c r="C213" s="1" t="n">
        <v>45186</v>
      </c>
      <c r="D213" t="inlineStr">
        <is>
          <t>DALARNAS LÄN</t>
        </is>
      </c>
      <c r="E213" t="inlineStr">
        <is>
          <t>GAGNEF</t>
        </is>
      </c>
      <c r="G213" t="n">
        <v>9.4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s="2" t="inlineStr"/>
    </row>
    <row r="214" ht="15" customHeight="1">
      <c r="A214" t="inlineStr">
        <is>
          <t>A 57134-2022</t>
        </is>
      </c>
      <c r="B214" s="1" t="n">
        <v>44895</v>
      </c>
      <c r="C214" s="1" t="n">
        <v>45186</v>
      </c>
      <c r="D214" t="inlineStr">
        <is>
          <t>DALARNAS LÄN</t>
        </is>
      </c>
      <c r="E214" t="inlineStr">
        <is>
          <t>GAGNEF</t>
        </is>
      </c>
      <c r="G214" t="n">
        <v>3.5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s="2" t="inlineStr"/>
    </row>
    <row r="215" ht="15" customHeight="1">
      <c r="A215" t="inlineStr">
        <is>
          <t>A 57729-2022</t>
        </is>
      </c>
      <c r="B215" s="1" t="n">
        <v>44897</v>
      </c>
      <c r="C215" s="1" t="n">
        <v>45186</v>
      </c>
      <c r="D215" t="inlineStr">
        <is>
          <t>DALARNAS LÄN</t>
        </is>
      </c>
      <c r="E215" t="inlineStr">
        <is>
          <t>GAGNEF</t>
        </is>
      </c>
      <c r="G215" t="n">
        <v>0.9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s="2" t="inlineStr"/>
    </row>
    <row r="216" ht="15" customHeight="1">
      <c r="A216" t="inlineStr">
        <is>
          <t>A 62463-2022</t>
        </is>
      </c>
      <c r="B216" s="1" t="n">
        <v>44916</v>
      </c>
      <c r="C216" s="1" t="n">
        <v>45186</v>
      </c>
      <c r="D216" t="inlineStr">
        <is>
          <t>DALARNAS LÄN</t>
        </is>
      </c>
      <c r="E216" t="inlineStr">
        <is>
          <t>GAGNEF</t>
        </is>
      </c>
      <c r="G216" t="n">
        <v>3.5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s="2" t="inlineStr"/>
    </row>
    <row r="217" ht="15" customHeight="1">
      <c r="A217" t="inlineStr">
        <is>
          <t>A 61992-2022</t>
        </is>
      </c>
      <c r="B217" s="1" t="n">
        <v>44918</v>
      </c>
      <c r="C217" s="1" t="n">
        <v>45186</v>
      </c>
      <c r="D217" t="inlineStr">
        <is>
          <t>DALARNAS LÄN</t>
        </is>
      </c>
      <c r="E217" t="inlineStr">
        <is>
          <t>GAGNEF</t>
        </is>
      </c>
      <c r="G217" t="n">
        <v>2.6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s="2" t="inlineStr"/>
    </row>
    <row r="218" ht="15" customHeight="1">
      <c r="A218" t="inlineStr">
        <is>
          <t>A 919-2023</t>
        </is>
      </c>
      <c r="B218" s="1" t="n">
        <v>44932</v>
      </c>
      <c r="C218" s="1" t="n">
        <v>45186</v>
      </c>
      <c r="D218" t="inlineStr">
        <is>
          <t>DALARNAS LÄN</t>
        </is>
      </c>
      <c r="E218" t="inlineStr">
        <is>
          <t>GAGNEF</t>
        </is>
      </c>
      <c r="G218" t="n">
        <v>4.1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s="2" t="inlineStr"/>
    </row>
    <row r="219" ht="15" customHeight="1">
      <c r="A219" t="inlineStr">
        <is>
          <t>A 4986-2023</t>
        </is>
      </c>
      <c r="B219" s="1" t="n">
        <v>44958</v>
      </c>
      <c r="C219" s="1" t="n">
        <v>45186</v>
      </c>
      <c r="D219" t="inlineStr">
        <is>
          <t>DALARNAS LÄN</t>
        </is>
      </c>
      <c r="E219" t="inlineStr">
        <is>
          <t>GAGNEF</t>
        </is>
      </c>
      <c r="G219" t="n">
        <v>1.1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s="2" t="inlineStr"/>
    </row>
    <row r="220" ht="15" customHeight="1">
      <c r="A220" t="inlineStr">
        <is>
          <t>A 8145-2023</t>
        </is>
      </c>
      <c r="B220" s="1" t="n">
        <v>44971</v>
      </c>
      <c r="C220" s="1" t="n">
        <v>45186</v>
      </c>
      <c r="D220" t="inlineStr">
        <is>
          <t>DALARNAS LÄN</t>
        </is>
      </c>
      <c r="E220" t="inlineStr">
        <is>
          <t>GAGNEF</t>
        </is>
      </c>
      <c r="G220" t="n">
        <v>0.7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s="2" t="inlineStr"/>
    </row>
    <row r="221" ht="15" customHeight="1">
      <c r="A221" t="inlineStr">
        <is>
          <t>A 8519-2023</t>
        </is>
      </c>
      <c r="B221" s="1" t="n">
        <v>44977</v>
      </c>
      <c r="C221" s="1" t="n">
        <v>45186</v>
      </c>
      <c r="D221" t="inlineStr">
        <is>
          <t>DALARNAS LÄN</t>
        </is>
      </c>
      <c r="E221" t="inlineStr">
        <is>
          <t>GAGNEF</t>
        </is>
      </c>
      <c r="G221" t="n">
        <v>2.1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s="2" t="inlineStr"/>
    </row>
    <row r="222" ht="15" customHeight="1">
      <c r="A222" t="inlineStr">
        <is>
          <t>A 11349-2023</t>
        </is>
      </c>
      <c r="B222" s="1" t="n">
        <v>44993</v>
      </c>
      <c r="C222" s="1" t="n">
        <v>45186</v>
      </c>
      <c r="D222" t="inlineStr">
        <is>
          <t>DALARNAS LÄN</t>
        </is>
      </c>
      <c r="E222" t="inlineStr">
        <is>
          <t>GAGNEF</t>
        </is>
      </c>
      <c r="G222" t="n">
        <v>5.8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s="2" t="inlineStr"/>
    </row>
    <row r="223" ht="15" customHeight="1">
      <c r="A223" t="inlineStr">
        <is>
          <t>A 11354-2023</t>
        </is>
      </c>
      <c r="B223" s="1" t="n">
        <v>44993</v>
      </c>
      <c r="C223" s="1" t="n">
        <v>45186</v>
      </c>
      <c r="D223" t="inlineStr">
        <is>
          <t>DALARNAS LÄN</t>
        </is>
      </c>
      <c r="E223" t="inlineStr">
        <is>
          <t>GAGNEF</t>
        </is>
      </c>
      <c r="G223" t="n">
        <v>2.8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s="2" t="inlineStr"/>
    </row>
    <row r="224" ht="15" customHeight="1">
      <c r="A224" t="inlineStr">
        <is>
          <t>A 11842-2023</t>
        </is>
      </c>
      <c r="B224" s="1" t="n">
        <v>44995</v>
      </c>
      <c r="C224" s="1" t="n">
        <v>45186</v>
      </c>
      <c r="D224" t="inlineStr">
        <is>
          <t>DALARNAS LÄN</t>
        </is>
      </c>
      <c r="E224" t="inlineStr">
        <is>
          <t>GAGNEF</t>
        </is>
      </c>
      <c r="G224" t="n">
        <v>3.6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s="2" t="inlineStr"/>
    </row>
    <row r="225" ht="15" customHeight="1">
      <c r="A225" t="inlineStr">
        <is>
          <t>A 15867-2023</t>
        </is>
      </c>
      <c r="B225" s="1" t="n">
        <v>45022</v>
      </c>
      <c r="C225" s="1" t="n">
        <v>45186</v>
      </c>
      <c r="D225" t="inlineStr">
        <is>
          <t>DALARNAS LÄN</t>
        </is>
      </c>
      <c r="E225" t="inlineStr">
        <is>
          <t>GAGNEF</t>
        </is>
      </c>
      <c r="G225" t="n">
        <v>4.7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s="2" t="inlineStr"/>
    </row>
    <row r="226" ht="15" customHeight="1">
      <c r="A226" t="inlineStr">
        <is>
          <t>A 16099-2023</t>
        </is>
      </c>
      <c r="B226" s="1" t="n">
        <v>45027</v>
      </c>
      <c r="C226" s="1" t="n">
        <v>45186</v>
      </c>
      <c r="D226" t="inlineStr">
        <is>
          <t>DALARNAS LÄN</t>
        </is>
      </c>
      <c r="E226" t="inlineStr">
        <is>
          <t>GAGNEF</t>
        </is>
      </c>
      <c r="G226" t="n">
        <v>13.4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s="2" t="inlineStr"/>
    </row>
    <row r="227" ht="15" customHeight="1">
      <c r="A227" t="inlineStr">
        <is>
          <t>A 16118-2023</t>
        </is>
      </c>
      <c r="B227" s="1" t="n">
        <v>45027</v>
      </c>
      <c r="C227" s="1" t="n">
        <v>45186</v>
      </c>
      <c r="D227" t="inlineStr">
        <is>
          <t>DALARNAS LÄN</t>
        </is>
      </c>
      <c r="E227" t="inlineStr">
        <is>
          <t>GAGNEF</t>
        </is>
      </c>
      <c r="G227" t="n">
        <v>2.3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s="2" t="inlineStr"/>
    </row>
    <row r="228" ht="15" customHeight="1">
      <c r="A228" t="inlineStr">
        <is>
          <t>A 16174-2023</t>
        </is>
      </c>
      <c r="B228" s="1" t="n">
        <v>45027</v>
      </c>
      <c r="C228" s="1" t="n">
        <v>45186</v>
      </c>
      <c r="D228" t="inlineStr">
        <is>
          <t>DALARNAS LÄN</t>
        </is>
      </c>
      <c r="E228" t="inlineStr">
        <is>
          <t>GAGNEF</t>
        </is>
      </c>
      <c r="G228" t="n">
        <v>0.7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s="2" t="inlineStr"/>
    </row>
    <row r="229" ht="15" customHeight="1">
      <c r="A229" t="inlineStr">
        <is>
          <t>A 16825-2023</t>
        </is>
      </c>
      <c r="B229" s="1" t="n">
        <v>45033</v>
      </c>
      <c r="C229" s="1" t="n">
        <v>45186</v>
      </c>
      <c r="D229" t="inlineStr">
        <is>
          <t>DALARNAS LÄN</t>
        </is>
      </c>
      <c r="E229" t="inlineStr">
        <is>
          <t>GAGNEF</t>
        </is>
      </c>
      <c r="G229" t="n">
        <v>4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s="2" t="inlineStr"/>
    </row>
    <row r="230" ht="15" customHeight="1">
      <c r="A230" t="inlineStr">
        <is>
          <t>A 19165-2023</t>
        </is>
      </c>
      <c r="B230" s="1" t="n">
        <v>45048</v>
      </c>
      <c r="C230" s="1" t="n">
        <v>45186</v>
      </c>
      <c r="D230" t="inlineStr">
        <is>
          <t>DALARNAS LÄN</t>
        </is>
      </c>
      <c r="E230" t="inlineStr">
        <is>
          <t>GAGNEF</t>
        </is>
      </c>
      <c r="G230" t="n">
        <v>3.7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s="2" t="inlineStr"/>
    </row>
    <row r="231" ht="15" customHeight="1">
      <c r="A231" t="inlineStr">
        <is>
          <t>A 19167-2023</t>
        </is>
      </c>
      <c r="B231" s="1" t="n">
        <v>45048</v>
      </c>
      <c r="C231" s="1" t="n">
        <v>45186</v>
      </c>
      <c r="D231" t="inlineStr">
        <is>
          <t>DALARNAS LÄN</t>
        </is>
      </c>
      <c r="E231" t="inlineStr">
        <is>
          <t>GAGNEF</t>
        </is>
      </c>
      <c r="G231" t="n">
        <v>1.1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s="2" t="inlineStr"/>
    </row>
    <row r="232" ht="15" customHeight="1">
      <c r="A232" t="inlineStr">
        <is>
          <t>A 19197-2023</t>
        </is>
      </c>
      <c r="B232" s="1" t="n">
        <v>45048</v>
      </c>
      <c r="C232" s="1" t="n">
        <v>45186</v>
      </c>
      <c r="D232" t="inlineStr">
        <is>
          <t>DALARNAS LÄN</t>
        </is>
      </c>
      <c r="E232" t="inlineStr">
        <is>
          <t>GAGNEF</t>
        </is>
      </c>
      <c r="G232" t="n">
        <v>0.5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s="2" t="inlineStr"/>
    </row>
    <row r="233" ht="15" customHeight="1">
      <c r="A233" t="inlineStr">
        <is>
          <t>A 19530-2023</t>
        </is>
      </c>
      <c r="B233" s="1" t="n">
        <v>45050</v>
      </c>
      <c r="C233" s="1" t="n">
        <v>45186</v>
      </c>
      <c r="D233" t="inlineStr">
        <is>
          <t>DALARNAS LÄN</t>
        </is>
      </c>
      <c r="E233" t="inlineStr">
        <is>
          <t>GAGNEF</t>
        </is>
      </c>
      <c r="G233" t="n">
        <v>1.2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s="2" t="inlineStr"/>
    </row>
    <row r="234" ht="15" customHeight="1">
      <c r="A234" t="inlineStr">
        <is>
          <t>A 20726-2023</t>
        </is>
      </c>
      <c r="B234" s="1" t="n">
        <v>45055</v>
      </c>
      <c r="C234" s="1" t="n">
        <v>45186</v>
      </c>
      <c r="D234" t="inlineStr">
        <is>
          <t>DALARNAS LÄN</t>
        </is>
      </c>
      <c r="E234" t="inlineStr">
        <is>
          <t>GAGNEF</t>
        </is>
      </c>
      <c r="G234" t="n">
        <v>0.7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s="2" t="inlineStr"/>
    </row>
    <row r="235" ht="15" customHeight="1">
      <c r="A235" t="inlineStr">
        <is>
          <t>A 20227-2023</t>
        </is>
      </c>
      <c r="B235" s="1" t="n">
        <v>45055</v>
      </c>
      <c r="C235" s="1" t="n">
        <v>45186</v>
      </c>
      <c r="D235" t="inlineStr">
        <is>
          <t>DALARNAS LÄN</t>
        </is>
      </c>
      <c r="E235" t="inlineStr">
        <is>
          <t>GAGNEF</t>
        </is>
      </c>
      <c r="G235" t="n">
        <v>0.8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s="2" t="inlineStr"/>
    </row>
    <row r="236" ht="15" customHeight="1">
      <c r="A236" t="inlineStr">
        <is>
          <t>A 20400-2023</t>
        </is>
      </c>
      <c r="B236" s="1" t="n">
        <v>45056</v>
      </c>
      <c r="C236" s="1" t="n">
        <v>45186</v>
      </c>
      <c r="D236" t="inlineStr">
        <is>
          <t>DALARNAS LÄN</t>
        </is>
      </c>
      <c r="E236" t="inlineStr">
        <is>
          <t>GAGNEF</t>
        </is>
      </c>
      <c r="G236" t="n">
        <v>2.3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s="2" t="inlineStr"/>
    </row>
    <row r="237" ht="15" customHeight="1">
      <c r="A237" t="inlineStr">
        <is>
          <t>A 22393-2023</t>
        </is>
      </c>
      <c r="B237" s="1" t="n">
        <v>45070</v>
      </c>
      <c r="C237" s="1" t="n">
        <v>45186</v>
      </c>
      <c r="D237" t="inlineStr">
        <is>
          <t>DALARNAS LÄN</t>
        </is>
      </c>
      <c r="E237" t="inlineStr">
        <is>
          <t>GAGNEF</t>
        </is>
      </c>
      <c r="G237" t="n">
        <v>2.9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s="2" t="inlineStr"/>
    </row>
    <row r="238" ht="15" customHeight="1">
      <c r="A238" t="inlineStr">
        <is>
          <t>A 22428-2023</t>
        </is>
      </c>
      <c r="B238" s="1" t="n">
        <v>45070</v>
      </c>
      <c r="C238" s="1" t="n">
        <v>45186</v>
      </c>
      <c r="D238" t="inlineStr">
        <is>
          <t>DALARNAS LÄN</t>
        </is>
      </c>
      <c r="E238" t="inlineStr">
        <is>
          <t>GAGNEF</t>
        </is>
      </c>
      <c r="G238" t="n">
        <v>8.5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s="2" t="inlineStr"/>
    </row>
    <row r="239" ht="15" customHeight="1">
      <c r="A239" t="inlineStr">
        <is>
          <t>A 23621-2023</t>
        </is>
      </c>
      <c r="B239" s="1" t="n">
        <v>45077</v>
      </c>
      <c r="C239" s="1" t="n">
        <v>45186</v>
      </c>
      <c r="D239" t="inlineStr">
        <is>
          <t>DALARNAS LÄN</t>
        </is>
      </c>
      <c r="E239" t="inlineStr">
        <is>
          <t>GAGNEF</t>
        </is>
      </c>
      <c r="G239" t="n">
        <v>4.9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s="2" t="inlineStr"/>
    </row>
    <row r="240" ht="15" customHeight="1">
      <c r="A240" t="inlineStr">
        <is>
          <t>A 23654-2023</t>
        </is>
      </c>
      <c r="B240" s="1" t="n">
        <v>45077</v>
      </c>
      <c r="C240" s="1" t="n">
        <v>45186</v>
      </c>
      <c r="D240" t="inlineStr">
        <is>
          <t>DALARNAS LÄN</t>
        </is>
      </c>
      <c r="E240" t="inlineStr">
        <is>
          <t>GAGNEF</t>
        </is>
      </c>
      <c r="G240" t="n">
        <v>3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s="2" t="inlineStr"/>
    </row>
    <row r="241" ht="15" customHeight="1">
      <c r="A241" t="inlineStr">
        <is>
          <t>A 23960-2023</t>
        </is>
      </c>
      <c r="B241" s="1" t="n">
        <v>45078</v>
      </c>
      <c r="C241" s="1" t="n">
        <v>45186</v>
      </c>
      <c r="D241" t="inlineStr">
        <is>
          <t>DALARNAS LÄN</t>
        </is>
      </c>
      <c r="E241" t="inlineStr">
        <is>
          <t>GAGNEF</t>
        </is>
      </c>
      <c r="G241" t="n">
        <v>3.1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s="2" t="inlineStr"/>
    </row>
    <row r="242" ht="15" customHeight="1">
      <c r="A242" t="inlineStr">
        <is>
          <t>A 25024-2023</t>
        </is>
      </c>
      <c r="B242" s="1" t="n">
        <v>45085</v>
      </c>
      <c r="C242" s="1" t="n">
        <v>45186</v>
      </c>
      <c r="D242" t="inlineStr">
        <is>
          <t>DALARNAS LÄN</t>
        </is>
      </c>
      <c r="E242" t="inlineStr">
        <is>
          <t>GAGNEF</t>
        </is>
      </c>
      <c r="G242" t="n">
        <v>0.5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s="2" t="inlineStr"/>
    </row>
    <row r="243" ht="15" customHeight="1">
      <c r="A243" t="inlineStr">
        <is>
          <t>A 25606-2023</t>
        </is>
      </c>
      <c r="B243" s="1" t="n">
        <v>45089</v>
      </c>
      <c r="C243" s="1" t="n">
        <v>45186</v>
      </c>
      <c r="D243" t="inlineStr">
        <is>
          <t>DALARNAS LÄN</t>
        </is>
      </c>
      <c r="E243" t="inlineStr">
        <is>
          <t>GAGNEF</t>
        </is>
      </c>
      <c r="G243" t="n">
        <v>2.5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s="2" t="inlineStr"/>
    </row>
    <row r="244" ht="15" customHeight="1">
      <c r="A244" t="inlineStr">
        <is>
          <t>A 27668-2023</t>
        </is>
      </c>
      <c r="B244" s="1" t="n">
        <v>45097</v>
      </c>
      <c r="C244" s="1" t="n">
        <v>45186</v>
      </c>
      <c r="D244" t="inlineStr">
        <is>
          <t>DALARNAS LÄN</t>
        </is>
      </c>
      <c r="E244" t="inlineStr">
        <is>
          <t>GAGNEF</t>
        </is>
      </c>
      <c r="G244" t="n">
        <v>1.4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s="2" t="inlineStr"/>
    </row>
    <row r="245" ht="15" customHeight="1">
      <c r="A245" t="inlineStr">
        <is>
          <t>A 28231-2023</t>
        </is>
      </c>
      <c r="B245" s="1" t="n">
        <v>45099</v>
      </c>
      <c r="C245" s="1" t="n">
        <v>45186</v>
      </c>
      <c r="D245" t="inlineStr">
        <is>
          <t>DALARNAS LÄN</t>
        </is>
      </c>
      <c r="E245" t="inlineStr">
        <is>
          <t>GAGNEF</t>
        </is>
      </c>
      <c r="G245" t="n">
        <v>5.6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s="2" t="inlineStr"/>
    </row>
    <row r="246" ht="15" customHeight="1">
      <c r="A246" t="inlineStr">
        <is>
          <t>A 28238-2023</t>
        </is>
      </c>
      <c r="B246" s="1" t="n">
        <v>45099</v>
      </c>
      <c r="C246" s="1" t="n">
        <v>45186</v>
      </c>
      <c r="D246" t="inlineStr">
        <is>
          <t>DALARNAS LÄN</t>
        </is>
      </c>
      <c r="E246" t="inlineStr">
        <is>
          <t>GAGNEF</t>
        </is>
      </c>
      <c r="G246" t="n">
        <v>4.1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s="2" t="inlineStr"/>
    </row>
    <row r="247" ht="15" customHeight="1">
      <c r="A247" t="inlineStr">
        <is>
          <t>A 31001-2023</t>
        </is>
      </c>
      <c r="B247" s="1" t="n">
        <v>45113</v>
      </c>
      <c r="C247" s="1" t="n">
        <v>45186</v>
      </c>
      <c r="D247" t="inlineStr">
        <is>
          <t>DALARNAS LÄN</t>
        </is>
      </c>
      <c r="E247" t="inlineStr">
        <is>
          <t>GAGNEF</t>
        </is>
      </c>
      <c r="G247" t="n">
        <v>7.8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s="2" t="inlineStr"/>
    </row>
    <row r="248" ht="15" customHeight="1">
      <c r="A248" t="inlineStr">
        <is>
          <t>A 30957-2023</t>
        </is>
      </c>
      <c r="B248" s="1" t="n">
        <v>45113</v>
      </c>
      <c r="C248" s="1" t="n">
        <v>45186</v>
      </c>
      <c r="D248" t="inlineStr">
        <is>
          <t>DALARNAS LÄN</t>
        </is>
      </c>
      <c r="E248" t="inlineStr">
        <is>
          <t>GAGNEF</t>
        </is>
      </c>
      <c r="F248" t="inlineStr">
        <is>
          <t>Bergvik skog väst AB</t>
        </is>
      </c>
      <c r="G248" t="n">
        <v>0.5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s="2" t="inlineStr"/>
    </row>
    <row r="249" ht="15" customHeight="1">
      <c r="A249" t="inlineStr">
        <is>
          <t>A 36005-2023</t>
        </is>
      </c>
      <c r="B249" s="1" t="n">
        <v>45148</v>
      </c>
      <c r="C249" s="1" t="n">
        <v>45186</v>
      </c>
      <c r="D249" t="inlineStr">
        <is>
          <t>DALARNAS LÄN</t>
        </is>
      </c>
      <c r="E249" t="inlineStr">
        <is>
          <t>GAGNEF</t>
        </is>
      </c>
      <c r="G249" t="n">
        <v>1.2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s="2" t="inlineStr"/>
    </row>
    <row r="250" ht="15" customHeight="1">
      <c r="A250" t="inlineStr">
        <is>
          <t>A 36011-2023</t>
        </is>
      </c>
      <c r="B250" s="1" t="n">
        <v>45148</v>
      </c>
      <c r="C250" s="1" t="n">
        <v>45186</v>
      </c>
      <c r="D250" t="inlineStr">
        <is>
          <t>DALARNAS LÄN</t>
        </is>
      </c>
      <c r="E250" t="inlineStr">
        <is>
          <t>GAGNEF</t>
        </is>
      </c>
      <c r="G250" t="n">
        <v>0.6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s="2" t="inlineStr"/>
    </row>
    <row r="251" ht="15" customHeight="1">
      <c r="A251" t="inlineStr">
        <is>
          <t>A 38267-2023</t>
        </is>
      </c>
      <c r="B251" s="1" t="n">
        <v>45161</v>
      </c>
      <c r="C251" s="1" t="n">
        <v>45186</v>
      </c>
      <c r="D251" t="inlineStr">
        <is>
          <t>DALARNAS LÄN</t>
        </is>
      </c>
      <c r="E251" t="inlineStr">
        <is>
          <t>GAGNEF</t>
        </is>
      </c>
      <c r="G251" t="n">
        <v>5.9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s="2" t="inlineStr"/>
    </row>
    <row r="252">
      <c r="A252" t="inlineStr">
        <is>
          <t>A 39367-2023</t>
        </is>
      </c>
      <c r="B252" s="1" t="n">
        <v>45166</v>
      </c>
      <c r="C252" s="1" t="n">
        <v>45186</v>
      </c>
      <c r="D252" t="inlineStr">
        <is>
          <t>DALARNAS LÄN</t>
        </is>
      </c>
      <c r="E252" t="inlineStr">
        <is>
          <t>GAGNEF</t>
        </is>
      </c>
      <c r="F252" t="inlineStr">
        <is>
          <t>Bergvik skog väst AB</t>
        </is>
      </c>
      <c r="G252" t="n">
        <v>2.4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2023-09-17T06:46:50Z</dcterms:created>
  <dcterms:modified xmlns:dcterms="http://purl.org/dc/terms/" xmlns:xsi="http://www.w3.org/2001/XMLSchema-instance" xsi:type="dcterms:W3CDTF">2023-09-17T06:46:50Z</dcterms:modified>
</cp:coreProperties>
</file>